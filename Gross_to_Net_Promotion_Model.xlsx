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0ebd9302d94e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b4e2232b39344d7"/>
    <x:sheet xmlns:r="http://schemas.openxmlformats.org/officeDocument/2006/relationships" name="Assumptions" sheetId="2" r:id="R1c786ea0e27441ca"/>
    <x:sheet xmlns:r="http://schemas.openxmlformats.org/officeDocument/2006/relationships" name="Monthly_Model" sheetId="3" r:id="Rcd1fad3cf0d54a29"/>
    <x:sheet xmlns:r="http://schemas.openxmlformats.org/officeDocument/2006/relationships" name="Scenarios" sheetId="4" r:id="Rce979ab055f24e78"/>
    <x:sheet xmlns:r="http://schemas.openxmlformats.org/officeDocument/2006/relationships" name="Read_Me" sheetId="5" r:id="Raad4d2cbc61345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£#,##0;[Red](£#,##0);-"/>
  </x:numFmts>
  <x:fonts count="7">
    <x:font>
      <x:sz val="11"/>
      <x:name val="Carlito"/>
    </x:font>
    <x:font>
      <x:b/>
      <x:sz val="15"/>
      <x:color rgb="FFFFFFFF"/>
      <x:name val="Carlito"/>
    </x:font>
    <x:font>
      <x:sz val="11"/>
      <x:color rgb="FF0000FF"/>
      <x:name val="Carlito"/>
    </x:font>
    <x:font>
      <x:b/>
      <x:sz val="11"/>
      <x:color rgb="FFFFFFFF"/>
      <x:name val="Carlito"/>
    </x:font>
    <x:font>
      <x:b/>
      <x:sz val="11"/>
      <x:color rgb="FF16324F"/>
      <x:name val="Carlito"/>
    </x:font>
    <x:font>
      <x:b/>
      <x:sz val="11"/>
      <x:color rgb="FF8A4B08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137C83"/>
      </x:patternFill>
    </x:fill>
    <x:fill>
      <x:patternFill patternType="solid">
        <x:fgColor rgb="FFE8F4F4"/>
      </x:patternFill>
    </x:fill>
    <x:fill>
      <x:patternFill patternType="solid">
        <x:fgColor rgb="FFFFF3D6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2" fillId="0" borderId="0" xfId="0" applyNumberFormat="1" applyFont="1" applyFill="1" applyBorder="1"/>
    <x:xf numFmtId="200" fontId="2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0" fontId="0" fillId="4" borderId="1" xfId="0" applyNumberFormat="1" applyFont="1" applyFill="1" applyBorder="1"/>
    <x:xf numFmtId="201" fontId="0" fillId="4" borderId="1" xfId="0" applyNumberFormat="1" applyFont="1" applyFill="1" applyBorder="1"/>
    <x:xf numFmtId="0" fontId="4" fillId="4" borderId="1" xfId="0" applyNumberFormat="1" applyFont="1" applyFill="1" applyBorder="1"/>
    <x:xf numFmtId="201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bed89a1fd14e51" /><Relationship Type="http://schemas.openxmlformats.org/officeDocument/2006/relationships/theme" Target="/xl/theme/theme1.xml" Id="R6edd725377c04891" /><Relationship Type="http://schemas.openxmlformats.org/officeDocument/2006/relationships/sharedStrings" Target="/xl/sharedStrings.xml" Id="R44b903d8a96c4e82" /><Relationship Type="http://schemas.openxmlformats.org/officeDocument/2006/relationships/worksheet" Target="/xl/worksheets/sheet1.xml" Id="Rcb4e2232b39344d7" /><Relationship Type="http://schemas.openxmlformats.org/officeDocument/2006/relationships/worksheet" Target="/xl/worksheets/sheet2.xml" Id="R1c786ea0e27441ca" /><Relationship Type="http://schemas.openxmlformats.org/officeDocument/2006/relationships/worksheet" Target="/xl/worksheets/sheet3.xml" Id="Rcd1fad3cf0d54a29" /><Relationship Type="http://schemas.openxmlformats.org/officeDocument/2006/relationships/worksheet" Target="/xl/worksheets/sheet4.xml" Id="Rce979ab055f24e78" /><Relationship Type="http://schemas.openxmlformats.org/officeDocument/2006/relationships/worksheet" Target="/xl/worksheets/sheet5.xml" Id="Raad4d2cbc613454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6a6254bd3304fb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Contribution profit by scenario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Contribution (£)</c:v>
          </c:tx>
          <c:cat>
            <c:strRef>
              <c:f>'Dashboard'!$D$7:$D$9</c:f>
              <c:strCache>
                <c:ptCount val="0"/>
              </c:strCache>
            </c:strRef>
          </c:cat>
          <c:val>
            <c:numRef>
              <c:f>'Dashboard'!$E$7:$E$9</c:f>
              <c:numCache>
                <c:formatCode>£#,##0;[Red](£#,##0);-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12</xdr:row>
      <xdr:rowOff>0</xdr:rowOff>
    </xdr:from>
    <xdr:to>
      <xdr:col>10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a6254bd3304fb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f61d1ce1d6b4df5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8" hidden="0" customWidth="1"/>
    <x:col min="4" max="4" width="31" hidden="0" customWidth="1"/>
    <x:col min="5" max="5" width="23" hidden="0" customWidth="1"/>
  </x:cols>
  <x:sheetData>
    <x:row r="1" ht="30" customHeight="1">
      <x:c r="A1" s="3" t="str">
        <x:v>COMMERCIAL FINANCE  |  GROSS-TO-NET SALES</x:v>
      </x:c>
      <x:c r="B1" s="3"/>
      <x:c r="C1" s="3"/>
      <x:c r="D1" s="3"/>
      <x:c r="E1" s="3"/>
      <x:c r="F1" s="3"/>
      <x:c r="G1" s="3"/>
      <x:c r="H1" s="3"/>
    </x:row>
    <x:row r="3">
      <x:c r="A3" s="13" t="str">
        <x:v>CONTROL PANEL</x:v>
      </x:c>
      <x:c r="B3" s="13" t="str"/>
      <x:c r="D3" s="27" t="str">
        <x:v>DEMO ONLY • NOT OBSERVED TRADE SPEND</x:v>
      </x:c>
      <x:c r="E3" s="27"/>
      <x:c r="F3" s="27"/>
      <x:c r="G3" s="27"/>
      <x:c r="H3" s="27"/>
    </x:row>
    <x:row r="4">
      <x:c r="A4" t="str">
        <x:v>Scenario ID</x:v>
      </x:c>
      <x:c r="B4" t="n">
        <x:f>Assumptions!B8</x:f>
        <x:v>1</x:v>
      </x:c>
      <x:c r="D4" s="27"/>
      <x:c r="E4" s="27"/>
      <x:c r="F4" s="27"/>
      <x:c r="G4" s="27"/>
      <x:c r="H4" s="27"/>
    </x:row>
    <x:row r="5">
      <x:c r="A5" t="str">
        <x:v>Scenario name</x:v>
      </x:c>
      <x:c r="B5" t="str">
        <x:f>INDEX(Scenarios!A5:A7,B4)</x:f>
        <x:v>Protect margin</x:v>
      </x:c>
    </x:row>
    <x:row r="6">
      <x:c r="A6" t="str">
        <x:v>Gross sales (£)</x:v>
      </x:c>
      <x:c r="B6" s="16" t="n">
        <x:f>Monthly_Model!H52</x:f>
        <x:v>522629.8704000001</x:v>
      </x:c>
      <x:c r="D6" s="13" t="str">
        <x:v>Scenario comparison</x:v>
      </x:c>
      <x:c r="E6" s="13" t="str">
        <x:v>Contribution (£)</x:v>
      </x:c>
    </x:row>
    <x:row r="7">
      <x:c r="A7" t="str">
        <x:v>Promo discounts (£)</x:v>
      </x:c>
      <x:c r="B7" s="16" t="n">
        <x:f>Monthly_Model!I52</x:f>
        <x:v>41539.143888</x:v>
      </x:c>
      <x:c r="D7" t="str">
        <x:v>Protect margin</x:v>
      </x:c>
      <x:c r="E7" s="16" t="n">
        <x:f>(Monthly_Model!$C$52*(1+Scenarios!C5)-Monthly_Model!$D$52*(1+Scenarios!C5)-Monthly_Model!$C$52*(1+Scenarios!C5)*(Scenarios!B5+Assumptions!$B$4+Assumptions!$B$5+Assumptions!$B$6)-Monthly_Model!$E$52*(1+Scenarios!C5))</x:f>
        <x:v>163093.087872</x:v>
      </x:c>
    </x:row>
    <x:row r="8">
      <x:c r="A8" t="str">
        <x:v>Returns and allowances (£)</x:v>
      </x:c>
      <x:c r="B8" s="16" t="n">
        <x:f>Monthly_Model!J52</x:f>
        <x:v>10452.597408000003</x:v>
      </x:c>
      <x:c r="D8" t="str">
        <x:v>Base</x:v>
      </x:c>
      <x:c r="E8" s="16" t="n">
        <x:f>(Monthly_Model!$C$52*(1+Scenarios!C6)-Monthly_Model!$D$52*(1+Scenarios!C6)-Monthly_Model!$C$52*(1+Scenarios!C6)*(Scenarios!B6+Assumptions!$B$4+Assumptions!$B$5+Assumptions!$B$6)-Monthly_Model!$E$52*(1+Scenarios!C6))</x:f>
        <x:v>148903.224</x:v>
      </x:c>
    </x:row>
    <x:row r="9">
      <x:c r="A9" t="str">
        <x:v>Trade spend (£)</x:v>
      </x:c>
      <x:c r="B9" s="16" t="n">
        <x:f>Monthly_Model!K52</x:f>
        <x:v>15678.896111999999</x:v>
      </x:c>
      <x:c r="D9" t="str">
        <x:v>Growth</x:v>
      </x:c>
      <x:c r="E9" s="16" t="n">
        <x:f>(Monthly_Model!$C$52*(1+Scenarios!C7)-Monthly_Model!$D$52*(1+Scenarios!C7)-Monthly_Model!$C$52*(1+Scenarios!C7)*(Scenarios!B7+Assumptions!$B$4+Assumptions!$B$5+Assumptions!$B$6)-Monthly_Model!$E$52*(1+Scenarios!C7))</x:f>
        <x:v>149033.869824</x:v>
      </x:c>
    </x:row>
    <x:row r="10">
      <x:c r="A10" t="str">
        <x:v>Net sales (£)</x:v>
      </x:c>
      <x:c r="B10" s="16" t="n">
        <x:f>Monthly_Model!L52</x:f>
        <x:v>454959.232992</x:v>
      </x:c>
      <x:c r="D10" t="str"/>
      <x:c r="E10" t="str"/>
    </x:row>
    <x:row r="11">
      <x:c r="A11" t="str">
        <x:v>COGS and selling (£)</x:v>
      </x:c>
      <x:c r="B11" s="16" t="n">
        <x:f>Monthly_Model!M52+Monthly_Model!N52</x:f>
        <x:v>291866.14512000006</x:v>
      </x:c>
      <x:c r="D11" t="str">
        <x:v>Assumptions drive all scenario changes</x:v>
      </x:c>
      <x:c r="E11" t="str"/>
    </x:row>
    <x:row r="12">
      <x:c r="A12" t="str">
        <x:v>Contribution profit (£)</x:v>
      </x:c>
      <x:c r="B12" s="16" t="n">
        <x:f>Monthly_Model!O52</x:f>
        <x:v>163093.087872</x:v>
      </x:c>
    </x:row>
    <x:row r="14">
      <x:c r="A14" s="13" t="str">
        <x:v>KEY PERFORMANCE INDICATORS</x:v>
      </x:c>
      <x:c r="B14" s="13" t="str"/>
    </x:row>
    <x:row r="15">
      <x:c r="A15" t="str">
        <x:v>Contribution margin</x:v>
      </x:c>
      <x:c r="B15" s="10" t="n">
        <x:f>IFERROR(B12/B10,0)</x:f>
        <x:v>0.3584784658604078</x:v>
      </x:c>
    </x:row>
    <x:row r="16">
      <x:c r="A16" t="str">
        <x:v>Gross-to-net deduction rate</x:v>
      </x:c>
      <x:c r="B16" s="10" t="n">
        <x:f>IFERROR((B6-B10)/B6,0)</x:f>
        <x:v>0.12948099839032862</x:v>
      </x:c>
    </x:row>
    <x:row r="17">
      <x:c r="A17" t="str">
        <x:v>Modeled plan gross (£)</x:v>
      </x:c>
      <x:c r="B17" s="16" t="n">
        <x:f>Monthly_Model!G52</x:f>
        <x:v>549025.3183999999</x:v>
      </x:c>
    </x:row>
    <x:row r="18">
      <x:c r="A18" t="str">
        <x:v>Gross sales variance to plan (£)</x:v>
      </x:c>
      <x:c r="B18" s="16" t="n">
        <x:f>B6-B17</x:f>
        <x:v>-26395.4479999998</x:v>
      </x:c>
    </x:row>
    <x:row r="19">
      <x:c r="A19" t="str">
        <x:v>Gross sales variance to plan (%)</x:v>
      </x:c>
      <x:c r="B19" s="10" t="n">
        <x:f>IFERROR(B18/B17,0)</x:f>
        <x:v>-0.048076923076922726</x:v>
      </x:c>
    </x:row>
    <x:row r="20">
      <x:c r="A20" t="str">
        <x:v>Demo source rows</x:v>
      </x:c>
      <x:c r="B20" t="n">
        <x:v>3600</x:v>
      </x:c>
    </x:row>
  </x:sheetData>
  <x:mergeCells>
    <x:mergeCell ref="A1:H1"/>
    <x:mergeCell ref="D3:H4"/>
  </x:mergeCells>
  <x:pageMargins left="0.7" right="0.7" top="0.75" bottom="0.75" header="0.3" footer="0.3"/>
  <x:drawing xmlns:r="http://schemas.openxmlformats.org/officeDocument/2006/relationships" r:id="R9f61d1ce1d6b4df5"/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9" hidden="0" customWidth="1"/>
    <x:col min="3" max="3" width="65" hidden="0" customWidth="1"/>
  </x:cols>
  <x:sheetData>
    <x:row r="1" ht="30" customHeight="1">
      <x:c r="A1" s="3" t="str">
        <x:v>MODEL ASSUMPTIONS  |  BLUE = EDITABLE</x:v>
      </x:c>
      <x:c r="B1" s="3"/>
      <x:c r="C1" s="3"/>
      <x:c r="D1" s="3"/>
    </x:row>
    <x:row r="3">
      <x:c r="A3" s="13" t="str">
        <x:v>Driver</x:v>
      </x:c>
      <x:c r="B3" s="13" t="str">
        <x:v>Value</x:v>
      </x:c>
      <x:c r="C3" s="13" t="str">
        <x:v>Method / source</x:v>
      </x:c>
    </x:row>
    <x:row r="4">
      <x:c r="A4" t="str">
        <x:v>Return &amp; allowance %</x:v>
      </x:c>
      <x:c r="B4" s="8" t="n">
        <x:v>0.02</x:v>
      </x:c>
      <x:c r="C4" t="str">
        <x:v>Assumed: UCI does not provide return links or allowance policy</x:v>
      </x:c>
    </x:row>
    <x:row r="5">
      <x:c r="A5" t="str">
        <x:v>Trade spend % of gross</x:v>
      </x:c>
      <x:c r="B5" s="8" t="n">
        <x:v>0.03</x:v>
      </x:c>
      <x:c r="C5" t="str">
        <x:v>Assumed commercial allowance; not an observed accounting entry</x:v>
      </x:c>
    </x:row>
    <x:row r="6">
      <x:c r="A6" t="str">
        <x:v>Variable selling % of gross</x:v>
      </x:c>
      <x:c r="B6" s="8" t="n">
        <x:v>0.05</x:v>
      </x:c>
      <x:c r="C6" t="str">
        <x:v>Assumed selling expense rate</x:v>
      </x:c>
    </x:row>
    <x:row r="7">
      <x:c r="A7" t="str">
        <x:v>Modeled plan growth %</x:v>
      </x:c>
      <x:c r="B7" s="8" t="n">
        <x:v>0.04</x:v>
      </x:c>
      <x:c r="C7" t="str">
        <x:v>Illustrative plan; NOT an approved company budget</x:v>
      </x:c>
    </x:row>
    <x:row r="8">
      <x:c r="A8" t="str">
        <x:v>Scenario ID (1=Margin, 2=Base, 3=Growth)</x:v>
      </x:c>
      <x:c r="B8" s="6" t="n">
        <x:v>1</x:v>
      </x:c>
      <x:c r="C8" t="str">
        <x:v>Change to 1, 2 or 3 to recalculate Dashboard</x:v>
      </x:c>
    </x:row>
    <x:row r="9">
      <x:c r="A9" t="str">
        <x:v>Incremental promo discount %</x:v>
      </x:c>
      <x:c r="B9" s="10" t="n">
        <x:f>INDEX(Scenarios!B5:B7,B8)</x:f>
        <x:v>-0.03</x:v>
      </x:c>
      <x:c r="C9" t="str">
        <x:v>Calculated from selected scenario</x:v>
      </x:c>
    </x:row>
    <x:row r="10">
      <x:c r="A10" t="str">
        <x:v>Expected unit volume change %</x:v>
      </x:c>
      <x:c r="B10" s="10" t="n">
        <x:f>INDEX(Scenarios!C5:C7,B8)</x:f>
        <x:v>-0.01</x:v>
      </x:c>
      <x:c r="C10" t="str">
        <x:v>Calculated from selected scenario</x:v>
      </x:c>
    </x:row>
    <x:row r="11">
      <x:c r="A11" t="str">
        <x:v>Demo currency</x:v>
      </x:c>
      <x:c r="B11" t="str">
        <x:v>GBP</x:v>
      </x:c>
      <x:c r="C11" t="str">
        <x:v>Simulated prices; UCI source prices are GBP</x:v>
      </x:c>
    </x:row>
    <x:row r="12">
      <x:c r="A12" t="str">
        <x:v>Data provenance</x:v>
      </x:c>
      <x:c r="B12" t="str">
        <x:v>100% synthetic demo</x:v>
      </x:c>
      <x:c r="C12" t="str">
        <x:v>Replace with UCI public dataset to claim public data</x:v>
      </x:c>
    </x:row>
  </x:sheetData>
  <x:mergeCells>
    <x:mergeCell ref="A1:D1"/>
  </x:mergeCells>
  <x:dataValidations count="1">
    <x:dataValidation type="list" sqref="B8">
      <x:formula1>"1,2,3"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</x:cols>
  <x:sheetData>
    <x:row r="1" ht="30" customHeight="1">
      <x:c r="A1" s="3" t="str">
        <x:v>GROSS-TO-NET MODEL  |  MONTHLY CATEGORY TOTALS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3" ht="24" customHeight="1">
      <x:c r="A3" s="13" t="str">
        <x:v>Month</x:v>
      </x:c>
      <x:c r="B3" s="13" t="str">
        <x:v>Category</x:v>
      </x:c>
      <x:c r="C3" s="13" t="str">
        <x:v>Gross Sales (£)</x:v>
      </x:c>
      <x:c r="D3" s="13" t="str">
        <x:v>Observed Discounts (£)</x:v>
      </x:c>
      <x:c r="E3" s="13" t="str">
        <x:v>Assumed COGS (£)</x:v>
      </x:c>
      <x:c r="F3" s="13" t="str">
        <x:v>Units</x:v>
      </x:c>
      <x:c r="G3" s="13" t="str">
        <x:v>Modeled Plan Gross (£)</x:v>
      </x:c>
      <x:c r="H3" s="13" t="str">
        <x:v>Scenario Gross (£)</x:v>
      </x:c>
      <x:c r="I3" s="13" t="str">
        <x:v>Total Discount (£)</x:v>
      </x:c>
      <x:c r="J3" s="13" t="str">
        <x:v>Returns (£)</x:v>
      </x:c>
      <x:c r="K3" s="13" t="str">
        <x:v>Trade Spend (£)</x:v>
      </x:c>
      <x:c r="L3" s="13" t="str">
        <x:v>Net Sales (£)</x:v>
      </x:c>
      <x:c r="M3" s="13" t="str">
        <x:v>COGS (£)</x:v>
      </x:c>
      <x:c r="N3" s="13" t="str">
        <x:v>Variable Selling (£)</x:v>
      </x:c>
      <x:c r="O3" s="13" t="str">
        <x:v>Contribution Profit (£)</x:v>
      </x:c>
    </x:row>
    <x:row r="4">
      <x:c r="A4" t="str">
        <x:v>2025-01</x:v>
      </x:c>
      <x:c r="B4" t="str">
        <x:v>Gifts</x:v>
      </x:c>
      <x:c r="C4" s="16" t="n">
        <x:v>11568.15</x:v>
      </x:c>
      <x:c r="D4" s="16" t="n">
        <x:v>1155.85</x:v>
      </x:c>
      <x:c r="E4" s="16" t="n">
        <x:v>4940.91</x:v>
      </x:c>
      <x:c r="F4" s="16" t="n">
        <x:v>616</x:v>
      </x:c>
      <x:c r="G4" s="16" t="n">
        <x:f>C4*(1+Assumptions!$B$7)</x:f>
        <x:v>12030.876</x:v>
      </x:c>
      <x:c r="H4" s="16" t="n">
        <x:f>C4*(1+Assumptions!$B$10)</x:f>
        <x:v>11452.468499999999</x:v>
      </x:c>
      <x:c r="I4" s="16" t="n">
        <x:f>D4*(1+Assumptions!$B$10)+H4*Assumptions!$B$9</x:f>
        <x:v>800.7174449999999</x:v>
      </x:c>
      <x:c r="J4" s="16" t="n">
        <x:f>H4*Assumptions!$B$4</x:f>
        <x:v>229.04936999999998</x:v>
      </x:c>
      <x:c r="K4" s="16" t="n">
        <x:f>H4*Assumptions!$B$5</x:f>
        <x:v>343.57405499999993</x:v>
      </x:c>
      <x:c r="L4" s="16" t="n">
        <x:f>H4-SUM(I4:K4)</x:f>
        <x:v>10079.127629999999</x:v>
      </x:c>
      <x:c r="M4" s="16" t="n">
        <x:f>E4*(1+Assumptions!$B$10)</x:f>
        <x:v>4891.5009</x:v>
      </x:c>
      <x:c r="N4" s="16" t="n">
        <x:f>H4*Assumptions!$B$6</x:f>
        <x:v>572.623425</x:v>
      </x:c>
      <x:c r="O4" s="16" t="n">
        <x:f>L4-SUM(M4:N4)</x:f>
        <x:v>4615.003304999999</x:v>
      </x:c>
    </x:row>
    <x:row r="5">
      <x:c r="A5" t="str">
        <x:v>2025-01</x:v>
      </x:c>
      <x:c r="B5" t="str">
        <x:v>Home</x:v>
      </x:c>
      <x:c r="C5" s="16" t="n">
        <x:v>10824.32</x:v>
      </x:c>
      <x:c r="D5" s="16" t="n">
        <x:v>1057.76</x:v>
      </x:c>
      <x:c r="E5" s="16" t="n">
        <x:v>5479.18</x:v>
      </x:c>
      <x:c r="F5" s="16" t="n">
        <x:v>477</x:v>
      </x:c>
      <x:c r="G5" s="16" t="n">
        <x:f>C5*(1+Assumptions!$B$7)</x:f>
        <x:v>11257.2928</x:v>
      </x:c>
      <x:c r="H5" s="16" t="n">
        <x:f>C5*(1+Assumptions!$B$10)</x:f>
        <x:v>10716.076799999999</x:v>
      </x:c>
      <x:c r="I5" s="16" t="n">
        <x:f>D5*(1+Assumptions!$B$10)+H5*Assumptions!$B$9</x:f>
        <x:v>725.700096</x:v>
      </x:c>
      <x:c r="J5" s="16" t="n">
        <x:f>H5*Assumptions!$B$4</x:f>
        <x:v>214.32153599999998</x:v>
      </x:c>
      <x:c r="K5" s="16" t="n">
        <x:f>H5*Assumptions!$B$5</x:f>
        <x:v>321.48230399999994</x:v>
      </x:c>
      <x:c r="L5" s="16" t="n">
        <x:f>H5-SUM(I5:K5)</x:f>
        <x:v>9454.572864</x:v>
      </x:c>
      <x:c r="M5" s="16" t="n">
        <x:f>E5*(1+Assumptions!$B$10)</x:f>
        <x:v>5424.3882</x:v>
      </x:c>
      <x:c r="N5" s="16" t="n">
        <x:f>H5*Assumptions!$B$6</x:f>
        <x:v>535.8038399999999</x:v>
      </x:c>
      <x:c r="O5" s="16" t="n">
        <x:f>L5-SUM(M5:N5)</x:f>
        <x:v>3494.380824</x:v>
      </x:c>
    </x:row>
    <x:row r="6">
      <x:c r="A6" t="str">
        <x:v>2025-01</x:v>
      </x:c>
      <x:c r="B6" t="str">
        <x:v>Kitchen</x:v>
      </x:c>
      <x:c r="C6" s="16" t="n">
        <x:v>21967.61</x:v>
      </x:c>
      <x:c r="D6" s="16" t="n">
        <x:v>2860.15</x:v>
      </x:c>
      <x:c r="E6" s="16" t="n">
        <x:v>12535.92</x:v>
      </x:c>
      <x:c r="F6" s="16" t="n">
        <x:v>700</x:v>
      </x:c>
      <x:c r="G6" s="16" t="n">
        <x:f>C6*(1+Assumptions!$B$7)</x:f>
        <x:v>22846.314400000003</x:v>
      </x:c>
      <x:c r="H6" s="16" t="n">
        <x:f>C6*(1+Assumptions!$B$10)</x:f>
        <x:v>21747.9339</x:v>
      </x:c>
      <x:c r="I6" s="16" t="n">
        <x:f>D6*(1+Assumptions!$B$10)+H6*Assumptions!$B$9</x:f>
        <x:v>2179.110483</x:v>
      </x:c>
      <x:c r="J6" s="16" t="n">
        <x:f>H6*Assumptions!$B$4</x:f>
        <x:v>434.958678</x:v>
      </x:c>
      <x:c r="K6" s="16" t="n">
        <x:f>H6*Assumptions!$B$5</x:f>
        <x:v>652.438017</x:v>
      </x:c>
      <x:c r="L6" s="16" t="n">
        <x:f>H6-SUM(I6:K6)</x:f>
        <x:v>18481.426722</x:v>
      </x:c>
      <x:c r="M6" s="16" t="n">
        <x:f>E6*(1+Assumptions!$B$10)</x:f>
        <x:v>12410.5608</x:v>
      </x:c>
      <x:c r="N6" s="16" t="n">
        <x:f>H6*Assumptions!$B$6</x:f>
        <x:v>1087.3966950000001</x:v>
      </x:c>
      <x:c r="O6" s="16" t="n">
        <x:f>L6-SUM(M6:N6)</x:f>
        <x:v>4983.469227000001</x:v>
      </x:c>
    </x:row>
    <x:row r="7">
      <x:c r="A7" t="str">
        <x:v>2025-01</x:v>
      </x:c>
      <x:c r="B7" t="str">
        <x:v>Seasonal</x:v>
      </x:c>
      <x:c r="C7" s="16" t="n">
        <x:v>8613.26</x:v>
      </x:c>
      <x:c r="D7" s="16" t="n">
        <x:v>936.18</x:v>
      </x:c>
      <x:c r="E7" s="16" t="n">
        <x:v>3970.35</x:v>
      </x:c>
      <x:c r="F7" s="16" t="n">
        <x:v>567</x:v>
      </x:c>
      <x:c r="G7" s="16" t="n">
        <x:f>C7*(1+Assumptions!$B$7)</x:f>
        <x:v>8957.7904</x:v>
      </x:c>
      <x:c r="H7" s="16" t="n">
        <x:f>C7*(1+Assumptions!$B$10)</x:f>
        <x:v>8527.1274</x:v>
      </x:c>
      <x:c r="I7" s="16" t="n">
        <x:f>D7*(1+Assumptions!$B$10)+H7*Assumptions!$B$9</x:f>
        <x:v>671.004378</x:v>
      </x:c>
      <x:c r="J7" s="16" t="n">
        <x:f>H7*Assumptions!$B$4</x:f>
        <x:v>170.54254799999998</x:v>
      </x:c>
      <x:c r="K7" s="16" t="n">
        <x:f>H7*Assumptions!$B$5</x:f>
        <x:v>255.81382199999996</x:v>
      </x:c>
      <x:c r="L7" s="16" t="n">
        <x:f>H7-SUM(I7:K7)</x:f>
        <x:v>7429.766651999999</x:v>
      </x:c>
      <x:c r="M7" s="16" t="n">
        <x:f>E7*(1+Assumptions!$B$10)</x:f>
        <x:v>3930.6465</x:v>
      </x:c>
      <x:c r="N7" s="16" t="n">
        <x:f>H7*Assumptions!$B$6</x:f>
        <x:v>426.35636999999997</x:v>
      </x:c>
      <x:c r="O7" s="16" t="n">
        <x:f>L7-SUM(M7:N7)</x:f>
        <x:v>3072.763781999999</x:v>
      </x:c>
    </x:row>
    <x:row r="8">
      <x:c r="A8" t="str">
        <x:v>2025-02</x:v>
      </x:c>
      <x:c r="B8" t="str">
        <x:v>Gifts</x:v>
      </x:c>
      <x:c r="C8" s="16" t="n">
        <x:v>8334.19</x:v>
      </x:c>
      <x:c r="D8" s="16" t="n">
        <x:v>907.86</x:v>
      </x:c>
      <x:c r="E8" s="16" t="n">
        <x:v>3616.45</x:v>
      </x:c>
      <x:c r="F8" s="16" t="n">
        <x:v>475</x:v>
      </x:c>
      <x:c r="G8" s="16" t="n">
        <x:f>C8*(1+Assumptions!$B$7)</x:f>
        <x:v>8667.5576</x:v>
      </x:c>
      <x:c r="H8" s="16" t="n">
        <x:f>C8*(1+Assumptions!$B$10)</x:f>
        <x:v>8250.848100000001</x:v>
      </x:c>
      <x:c r="I8" s="16" t="n">
        <x:f>D8*(1+Assumptions!$B$10)+H8*Assumptions!$B$9</x:f>
        <x:v>651.255957</x:v>
      </x:c>
      <x:c r="J8" s="16" t="n">
        <x:f>H8*Assumptions!$B$4</x:f>
        <x:v>165.01696200000004</x:v>
      </x:c>
      <x:c r="K8" s="16" t="n">
        <x:f>H8*Assumptions!$B$5</x:f>
        <x:v>247.52544300000002</x:v>
      </x:c>
      <x:c r="L8" s="16" t="n">
        <x:f>H8-SUM(I8:K8)</x:f>
        <x:v>7187.0497380000015</x:v>
      </x:c>
      <x:c r="M8" s="16" t="n">
        <x:f>E8*(1+Assumptions!$B$10)</x:f>
        <x:v>3580.2855</x:v>
      </x:c>
      <x:c r="N8" s="16" t="n">
        <x:f>H8*Assumptions!$B$6</x:f>
        <x:v>412.5424050000001</x:v>
      </x:c>
      <x:c r="O8" s="16" t="n">
        <x:f>L8-SUM(M8:N8)</x:f>
        <x:v>3194.2218330000014</x:v>
      </x:c>
    </x:row>
    <x:row r="9">
      <x:c r="A9" t="str">
        <x:v>2025-02</x:v>
      </x:c>
      <x:c r="B9" t="str">
        <x:v>Home</x:v>
      </x:c>
      <x:c r="C9" s="16" t="n">
        <x:v>9561.15</x:v>
      </x:c>
      <x:c r="D9" s="16" t="n">
        <x:v>973.62</x:v>
      </x:c>
      <x:c r="E9" s="16" t="n">
        <x:v>4870.92</x:v>
      </x:c>
      <x:c r="F9" s="16" t="n">
        <x:v>403</x:v>
      </x:c>
      <x:c r="G9" s="16" t="n">
        <x:f>C9*(1+Assumptions!$B$7)</x:f>
        <x:v>9943.596</x:v>
      </x:c>
      <x:c r="H9" s="16" t="n">
        <x:f>C9*(1+Assumptions!$B$10)</x:f>
        <x:v>9465.538499999999</x:v>
      </x:c>
      <x:c r="I9" s="16" t="n">
        <x:f>D9*(1+Assumptions!$B$10)+H9*Assumptions!$B$9</x:f>
        <x:v>679.917645</x:v>
      </x:c>
      <x:c r="J9" s="16" t="n">
        <x:f>H9*Assumptions!$B$4</x:f>
        <x:v>189.31077</x:v>
      </x:c>
      <x:c r="K9" s="16" t="n">
        <x:f>H9*Assumptions!$B$5</x:f>
        <x:v>283.96615499999996</x:v>
      </x:c>
      <x:c r="L9" s="16" t="n">
        <x:f>H9-SUM(I9:K9)</x:f>
        <x:v>8312.34393</x:v>
      </x:c>
      <x:c r="M9" s="16" t="n">
        <x:f>E9*(1+Assumptions!$B$10)</x:f>
        <x:v>4822.2108</x:v>
      </x:c>
      <x:c r="N9" s="16" t="n">
        <x:f>H9*Assumptions!$B$6</x:f>
        <x:v>473.27692499999995</x:v>
      </x:c>
      <x:c r="O9" s="16" t="n">
        <x:f>L9-SUM(M9:N9)</x:f>
        <x:v>3016.856204999999</x:v>
      </x:c>
    </x:row>
    <x:row r="10">
      <x:c r="A10" t="str">
        <x:v>2025-02</x:v>
      </x:c>
      <x:c r="B10" t="str">
        <x:v>Kitchen</x:v>
      </x:c>
      <x:c r="C10" s="16" t="n">
        <x:v>16582.97</x:v>
      </x:c>
      <x:c r="D10" s="16" t="n">
        <x:v>1838.05</x:v>
      </x:c>
      <x:c r="E10" s="16" t="n">
        <x:v>9458.45</x:v>
      </x:c>
      <x:c r="F10" s="16" t="n">
        <x:v>522</x:v>
      </x:c>
      <x:c r="G10" s="16" t="n">
        <x:f>C10*(1+Assumptions!$B$7)</x:f>
        <x:v>17246.288800000002</x:v>
      </x:c>
      <x:c r="H10" s="16" t="n">
        <x:f>C10*(1+Assumptions!$B$10)</x:f>
        <x:v>16417.140300000003</x:v>
      </x:c>
      <x:c r="I10" s="16" t="n">
        <x:f>D10*(1+Assumptions!$B$10)+H10*Assumptions!$B$9</x:f>
        <x:v>1327.155291</x:v>
      </x:c>
      <x:c r="J10" s="16" t="n">
        <x:f>H10*Assumptions!$B$4</x:f>
        <x:v>328.34280600000005</x:v>
      </x:c>
      <x:c r="K10" s="16" t="n">
        <x:f>H10*Assumptions!$B$5</x:f>
        <x:v>492.51420900000005</x:v>
      </x:c>
      <x:c r="L10" s="16" t="n">
        <x:f>H10-SUM(I10:K10)</x:f>
        <x:v>14269.127994000002</x:v>
      </x:c>
      <x:c r="M10" s="16" t="n">
        <x:f>E10*(1+Assumptions!$B$10)</x:f>
        <x:v>9363.8655</x:v>
      </x:c>
      <x:c r="N10" s="16" t="n">
        <x:f>H10*Assumptions!$B$6</x:f>
        <x:v>820.8570150000002</x:v>
      </x:c>
      <x:c r="O10" s="16" t="n">
        <x:f>L10-SUM(M10:N10)</x:f>
        <x:v>4084.4054790000027</x:v>
      </x:c>
    </x:row>
    <x:row r="11">
      <x:c r="A11" t="str">
        <x:v>2025-02</x:v>
      </x:c>
      <x:c r="B11" t="str">
        <x:v>Seasonal</x:v>
      </x:c>
      <x:c r="C11" s="16" t="n">
        <x:v>6509.49</x:v>
      </x:c>
      <x:c r="D11" s="16" t="n">
        <x:v>527.26</x:v>
      </x:c>
      <x:c r="E11" s="16" t="n">
        <x:v>2984.46</x:v>
      </x:c>
      <x:c r="F11" s="16" t="n">
        <x:v>473</x:v>
      </x:c>
      <x:c r="G11" s="16" t="n">
        <x:f>C11*(1+Assumptions!$B$7)</x:f>
        <x:v>6769.8696</x:v>
      </x:c>
      <x:c r="H11" s="16" t="n">
        <x:f>C11*(1+Assumptions!$B$10)</x:f>
        <x:v>6444.3951</x:v>
      </x:c>
      <x:c r="I11" s="16" t="n">
        <x:f>D11*(1+Assumptions!$B$10)+H11*Assumptions!$B$9</x:f>
        <x:v>328.65554699999996</x:v>
      </x:c>
      <x:c r="J11" s="16" t="n">
        <x:f>H11*Assumptions!$B$4</x:f>
        <x:v>128.887902</x:v>
      </x:c>
      <x:c r="K11" s="16" t="n">
        <x:f>H11*Assumptions!$B$5</x:f>
        <x:v>193.331853</x:v>
      </x:c>
      <x:c r="L11" s="16" t="n">
        <x:f>H11-SUM(I11:K11)</x:f>
        <x:v>5793.519797999999</x:v>
      </x:c>
      <x:c r="M11" s="16" t="n">
        <x:f>E11*(1+Assumptions!$B$10)</x:f>
        <x:v>2954.6154</x:v>
      </x:c>
      <x:c r="N11" s="16" t="n">
        <x:f>H11*Assumptions!$B$6</x:f>
        <x:v>322.219755</x:v>
      </x:c>
      <x:c r="O11" s="16" t="n">
        <x:f>L11-SUM(M11:N11)</x:f>
        <x:v>2516.684642999999</x:v>
      </x:c>
    </x:row>
    <x:row r="12">
      <x:c r="A12" t="str">
        <x:v>2025-03</x:v>
      </x:c>
      <x:c r="B12" t="str">
        <x:v>Gifts</x:v>
      </x:c>
      <x:c r="C12" s="16" t="n">
        <x:v>10614.79</x:v>
      </x:c>
      <x:c r="D12" s="16" t="n">
        <x:v>1308.11</x:v>
      </x:c>
      <x:c r="E12" s="16" t="n">
        <x:v>4588.34</x:v>
      </x:c>
      <x:c r="F12" s="16" t="n">
        <x:v>582</x:v>
      </x:c>
      <x:c r="G12" s="16" t="n">
        <x:f>C12*(1+Assumptions!$B$7)</x:f>
        <x:v>11039.3816</x:v>
      </x:c>
      <x:c r="H12" s="16" t="n">
        <x:f>C12*(1+Assumptions!$B$10)</x:f>
        <x:v>10508.642100000001</x:v>
      </x:c>
      <x:c r="I12" s="16" t="n">
        <x:f>D12*(1+Assumptions!$B$10)+H12*Assumptions!$B$9</x:f>
        <x:v>979.7696369999998</x:v>
      </x:c>
      <x:c r="J12" s="16" t="n">
        <x:f>H12*Assumptions!$B$4</x:f>
        <x:v>210.17284200000003</x:v>
      </x:c>
      <x:c r="K12" s="16" t="n">
        <x:f>H12*Assumptions!$B$5</x:f>
        <x:v>315.25926300000003</x:v>
      </x:c>
      <x:c r="L12" s="16" t="n">
        <x:f>H12-SUM(I12:K12)</x:f>
        <x:v>9003.440358000002</x:v>
      </x:c>
      <x:c r="M12" s="16" t="n">
        <x:f>E12*(1+Assumptions!$B$10)</x:f>
        <x:v>4542.4566</x:v>
      </x:c>
      <x:c r="N12" s="16" t="n">
        <x:f>H12*Assumptions!$B$6</x:f>
        <x:v>525.4321050000001</x:v>
      </x:c>
      <x:c r="O12" s="16" t="n">
        <x:f>L12-SUM(M12:N12)</x:f>
        <x:v>3935.5516530000014</x:v>
      </x:c>
    </x:row>
    <x:row r="13">
      <x:c r="A13" t="str">
        <x:v>2025-03</x:v>
      </x:c>
      <x:c r="B13" t="str">
        <x:v>Home</x:v>
      </x:c>
      <x:c r="C13" s="16" t="n">
        <x:v>9997.43</x:v>
      </x:c>
      <x:c r="D13" s="16" t="n">
        <x:v>1118.68</x:v>
      </x:c>
      <x:c r="E13" s="16" t="n">
        <x:v>5082.6</x:v>
      </x:c>
      <x:c r="F13" s="16" t="n">
        <x:v>405</x:v>
      </x:c>
      <x:c r="G13" s="16" t="n">
        <x:f>C13*(1+Assumptions!$B$7)</x:f>
        <x:v>10397.327200000002</x:v>
      </x:c>
      <x:c r="H13" s="16" t="n">
        <x:f>C13*(1+Assumptions!$B$10)</x:f>
        <x:v>9897.4557</x:v>
      </x:c>
      <x:c r="I13" s="16" t="n">
        <x:f>D13*(1+Assumptions!$B$10)+H13*Assumptions!$B$9</x:f>
        <x:v>810.5695290000001</x:v>
      </x:c>
      <x:c r="J13" s="16" t="n">
        <x:f>H13*Assumptions!$B$4</x:f>
        <x:v>197.949114</x:v>
      </x:c>
      <x:c r="K13" s="16" t="n">
        <x:f>H13*Assumptions!$B$5</x:f>
        <x:v>296.923671</x:v>
      </x:c>
      <x:c r="L13" s="16" t="n">
        <x:f>H13-SUM(I13:K13)</x:f>
        <x:v>8592.013386</x:v>
      </x:c>
      <x:c r="M13" s="16" t="n">
        <x:f>E13*(1+Assumptions!$B$10)</x:f>
        <x:v>5031.774</x:v>
      </x:c>
      <x:c r="N13" s="16" t="n">
        <x:f>H13*Assumptions!$B$6</x:f>
        <x:v>494.872785</x:v>
      </x:c>
      <x:c r="O13" s="16" t="n">
        <x:f>L13-SUM(M13:N13)</x:f>
        <x:v>3065.3666009999997</x:v>
      </x:c>
    </x:row>
    <x:row r="14">
      <x:c r="A14" t="str">
        <x:v>2025-03</x:v>
      </x:c>
      <x:c r="B14" t="str">
        <x:v>Kitchen</x:v>
      </x:c>
      <x:c r="C14" s="16" t="n">
        <x:v>18763.63</x:v>
      </x:c>
      <x:c r="D14" s="16" t="n">
        <x:v>2335.82</x:v>
      </x:c>
      <x:c r="E14" s="16" t="n">
        <x:v>10727.36</x:v>
      </x:c>
      <x:c r="F14" s="16" t="n">
        <x:v>577</x:v>
      </x:c>
      <x:c r="G14" s="16" t="n">
        <x:f>C14*(1+Assumptions!$B$7)</x:f>
        <x:v>19514.1752</x:v>
      </x:c>
      <x:c r="H14" s="16" t="n">
        <x:f>C14*(1+Assumptions!$B$10)</x:f>
        <x:v>18575.9937</x:v>
      </x:c>
      <x:c r="I14" s="16" t="n">
        <x:f>D14*(1+Assumptions!$B$10)+H14*Assumptions!$B$9</x:f>
        <x:v>1755.1819890000002</x:v>
      </x:c>
      <x:c r="J14" s="16" t="n">
        <x:f>H14*Assumptions!$B$4</x:f>
        <x:v>371.519874</x:v>
      </x:c>
      <x:c r="K14" s="16" t="n">
        <x:f>H14*Assumptions!$B$5</x:f>
        <x:v>557.279811</x:v>
      </x:c>
      <x:c r="L14" s="16" t="n">
        <x:f>H14-SUM(I14:K14)</x:f>
        <x:v>15892.012025999999</x:v>
      </x:c>
      <x:c r="M14" s="16" t="n">
        <x:f>E14*(1+Assumptions!$B$10)</x:f>
        <x:v>10620.0864</x:v>
      </x:c>
      <x:c r="N14" s="16" t="n">
        <x:f>H14*Assumptions!$B$6</x:f>
        <x:v>928.799685</x:v>
      </x:c>
      <x:c r="O14" s="16" t="n">
        <x:f>L14-SUM(M14:N14)</x:f>
        <x:v>4343.125940999998</x:v>
      </x:c>
    </x:row>
    <x:row r="15">
      <x:c r="A15" t="str">
        <x:v>2025-03</x:v>
      </x:c>
      <x:c r="B15" t="str">
        <x:v>Seasonal</x:v>
      </x:c>
      <x:c r="C15" s="16" t="n">
        <x:v>5611.25</x:v>
      </x:c>
      <x:c r="D15" s="16" t="n">
        <x:v>687.09</x:v>
      </x:c>
      <x:c r="E15" s="16" t="n">
        <x:v>2551.76</x:v>
      </x:c>
      <x:c r="F15" s="16" t="n">
        <x:v>373</x:v>
      </x:c>
      <x:c r="G15" s="16" t="n">
        <x:f>C15*(1+Assumptions!$B$7)</x:f>
        <x:v>5835.7</x:v>
      </x:c>
      <x:c r="H15" s="16" t="n">
        <x:f>C15*(1+Assumptions!$B$10)</x:f>
        <x:v>5555.1375</x:v>
      </x:c>
      <x:c r="I15" s="16" t="n">
        <x:f>D15*(1+Assumptions!$B$10)+H15*Assumptions!$B$9</x:f>
        <x:v>513.564975</x:v>
      </x:c>
      <x:c r="J15" s="16" t="n">
        <x:f>H15*Assumptions!$B$4</x:f>
        <x:v>111.10275</x:v>
      </x:c>
      <x:c r="K15" s="16" t="n">
        <x:f>H15*Assumptions!$B$5</x:f>
        <x:v>166.654125</x:v>
      </x:c>
      <x:c r="L15" s="16" t="n">
        <x:f>H15-SUM(I15:K15)</x:f>
        <x:v>4763.81565</x:v>
      </x:c>
      <x:c r="M15" s="16" t="n">
        <x:f>E15*(1+Assumptions!$B$10)</x:f>
        <x:v>2526.2424</x:v>
      </x:c>
      <x:c r="N15" s="16" t="n">
        <x:f>H15*Assumptions!$B$6</x:f>
        <x:v>277.756875</x:v>
      </x:c>
      <x:c r="O15" s="16" t="n">
        <x:f>L15-SUM(M15:N15)</x:f>
        <x:v>1959.8163749999994</x:v>
      </x:c>
    </x:row>
    <x:row r="16">
      <x:c r="A16" t="str">
        <x:v>2025-04</x:v>
      </x:c>
      <x:c r="B16" t="str">
        <x:v>Gifts</x:v>
      </x:c>
      <x:c r="C16" s="16" t="n">
        <x:v>7615.58</x:v>
      </x:c>
      <x:c r="D16" s="16" t="n">
        <x:v>708.18</x:v>
      </x:c>
      <x:c r="E16" s="16" t="n">
        <x:v>3262.46</x:v>
      </x:c>
      <x:c r="F16" s="16" t="n">
        <x:v>423</x:v>
      </x:c>
      <x:c r="G16" s="16" t="n">
        <x:f>C16*(1+Assumptions!$B$7)</x:f>
        <x:v>7920.2032</x:v>
      </x:c>
      <x:c r="H16" s="16" t="n">
        <x:f>C16*(1+Assumptions!$B$10)</x:f>
        <x:v>7539.4241999999995</x:v>
      </x:c>
      <x:c r="I16" s="16" t="n">
        <x:f>D16*(1+Assumptions!$B$10)+H16*Assumptions!$B$9</x:f>
        <x:v>474.9154739999999</x:v>
      </x:c>
      <x:c r="J16" s="16" t="n">
        <x:f>H16*Assumptions!$B$4</x:f>
        <x:v>150.78848399999998</x:v>
      </x:c>
      <x:c r="K16" s="16" t="n">
        <x:f>H16*Assumptions!$B$5</x:f>
        <x:v>226.18272599999997</x:v>
      </x:c>
      <x:c r="L16" s="16" t="n">
        <x:f>H16-SUM(I16:K16)</x:f>
        <x:v>6687.537515999999</x:v>
      </x:c>
      <x:c r="M16" s="16" t="n">
        <x:f>E16*(1+Assumptions!$B$10)</x:f>
        <x:v>3229.8354</x:v>
      </x:c>
      <x:c r="N16" s="16" t="n">
        <x:f>H16*Assumptions!$B$6</x:f>
        <x:v>376.97121</x:v>
      </x:c>
      <x:c r="O16" s="16" t="n">
        <x:f>L16-SUM(M16:N16)</x:f>
        <x:v>3080.7309059999993</x:v>
      </x:c>
    </x:row>
    <x:row r="17">
      <x:c r="A17" t="str">
        <x:v>2025-04</x:v>
      </x:c>
      <x:c r="B17" t="str">
        <x:v>Home</x:v>
      </x:c>
      <x:c r="C17" s="16" t="n">
        <x:v>9652.7</x:v>
      </x:c>
      <x:c r="D17" s="16" t="n">
        <x:v>1178.9</x:v>
      </x:c>
      <x:c r="E17" s="16" t="n">
        <x:v>4875.22</x:v>
      </x:c>
      <x:c r="F17" s="16" t="n">
        <x:v>438</x:v>
      </x:c>
      <x:c r="G17" s="16" t="n">
        <x:f>C17*(1+Assumptions!$B$7)</x:f>
        <x:v>10038.808</x:v>
      </x:c>
      <x:c r="H17" s="16" t="n">
        <x:f>C17*(1+Assumptions!$B$10)</x:f>
        <x:v>9556.173</x:v>
      </x:c>
      <x:c r="I17" s="16" t="n">
        <x:f>D17*(1+Assumptions!$B$10)+H17*Assumptions!$B$9</x:f>
        <x:v>880.4258100000001</x:v>
      </x:c>
      <x:c r="J17" s="16" t="n">
        <x:f>H17*Assumptions!$B$4</x:f>
        <x:v>191.12346000000002</x:v>
      </x:c>
      <x:c r="K17" s="16" t="n">
        <x:f>H17*Assumptions!$B$5</x:f>
        <x:v>286.68519000000003</x:v>
      </x:c>
      <x:c r="L17" s="16" t="n">
        <x:f>H17-SUM(I17:K17)</x:f>
        <x:v>8197.938540000001</x:v>
      </x:c>
      <x:c r="M17" s="16" t="n">
        <x:f>E17*(1+Assumptions!$B$10)</x:f>
        <x:v>4826.4678</x:v>
      </x:c>
      <x:c r="N17" s="16" t="n">
        <x:f>H17*Assumptions!$B$6</x:f>
        <x:v>477.80865000000006</x:v>
      </x:c>
      <x:c r="O17" s="16" t="n">
        <x:f>L17-SUM(M17:N17)</x:f>
        <x:v>2893.6620900000007</x:v>
      </x:c>
    </x:row>
    <x:row r="18">
      <x:c r="A18" t="str">
        <x:v>2025-04</x:v>
      </x:c>
      <x:c r="B18" t="str">
        <x:v>Kitchen</x:v>
      </x:c>
      <x:c r="C18" s="16" t="n">
        <x:v>13395.08</x:v>
      </x:c>
      <x:c r="D18" s="16" t="n">
        <x:v>1472.81</x:v>
      </x:c>
      <x:c r="E18" s="16" t="n">
        <x:v>7696.64</x:v>
      </x:c>
      <x:c r="F18" s="16" t="n">
        <x:v>423</x:v>
      </x:c>
      <x:c r="G18" s="16" t="n">
        <x:f>C18*(1+Assumptions!$B$7)</x:f>
        <x:v>13930.8832</x:v>
      </x:c>
      <x:c r="H18" s="16" t="n">
        <x:f>C18*(1+Assumptions!$B$10)</x:f>
        <x:v>13261.1292</x:v>
      </x:c>
      <x:c r="I18" s="16" t="n">
        <x:f>D18*(1+Assumptions!$B$10)+H18*Assumptions!$B$9</x:f>
        <x:v>1060.248024</x:v>
      </x:c>
      <x:c r="J18" s="16" t="n">
        <x:f>H18*Assumptions!$B$4</x:f>
        <x:v>265.222584</x:v>
      </x:c>
      <x:c r="K18" s="16" t="n">
        <x:f>H18*Assumptions!$B$5</x:f>
        <x:v>397.833876</x:v>
      </x:c>
      <x:c r="L18" s="16" t="n">
        <x:f>H18-SUM(I18:K18)</x:f>
        <x:v>11537.824716</x:v>
      </x:c>
      <x:c r="M18" s="16" t="n">
        <x:f>E18*(1+Assumptions!$B$10)</x:f>
        <x:v>7619.6736</x:v>
      </x:c>
      <x:c r="N18" s="16" t="n">
        <x:f>H18*Assumptions!$B$6</x:f>
        <x:v>663.05646</x:v>
      </x:c>
      <x:c r="O18" s="16" t="n">
        <x:f>L18-SUM(M18:N18)</x:f>
        <x:v>3255.0946559999993</x:v>
      </x:c>
    </x:row>
    <x:row r="19">
      <x:c r="A19" t="str">
        <x:v>2025-04</x:v>
      </x:c>
      <x:c r="B19" t="str">
        <x:v>Seasonal</x:v>
      </x:c>
      <x:c r="C19" s="16" t="n">
        <x:v>5569.68</x:v>
      </x:c>
      <x:c r="D19" s="16" t="n">
        <x:v>500.21</x:v>
      </x:c>
      <x:c r="E19" s="16" t="n">
        <x:v>2553.09</x:v>
      </x:c>
      <x:c r="F19" s="16" t="n">
        <x:v>392</x:v>
      </x:c>
      <x:c r="G19" s="16" t="n">
        <x:f>C19*(1+Assumptions!$B$7)</x:f>
        <x:v>5792.4672</x:v>
      </x:c>
      <x:c r="H19" s="16" t="n">
        <x:f>C19*(1+Assumptions!$B$10)</x:f>
        <x:v>5513.983200000001</x:v>
      </x:c>
      <x:c r="I19" s="16" t="n">
        <x:f>D19*(1+Assumptions!$B$10)+H19*Assumptions!$B$9</x:f>
        <x:v>329.788404</x:v>
      </x:c>
      <x:c r="J19" s="16" t="n">
        <x:f>H19*Assumptions!$B$4</x:f>
        <x:v>110.27966400000001</x:v>
      </x:c>
      <x:c r="K19" s="16" t="n">
        <x:f>H19*Assumptions!$B$5</x:f>
        <x:v>165.419496</x:v>
      </x:c>
      <x:c r="L19" s="16" t="n">
        <x:f>H19-SUM(I19:K19)</x:f>
        <x:v>4908.495636000001</x:v>
      </x:c>
      <x:c r="M19" s="16" t="n">
        <x:f>E19*(1+Assumptions!$B$10)</x:f>
        <x:v>2527.5591</x:v>
      </x:c>
      <x:c r="N19" s="16" t="n">
        <x:f>H19*Assumptions!$B$6</x:f>
        <x:v>275.69916000000006</x:v>
      </x:c>
      <x:c r="O19" s="16" t="n">
        <x:f>L19-SUM(M19:N19)</x:f>
        <x:v>2105.2373760000005</x:v>
      </x:c>
    </x:row>
    <x:row r="20">
      <x:c r="A20" t="str">
        <x:v>2025-05</x:v>
      </x:c>
      <x:c r="B20" t="str">
        <x:v>Gifts</x:v>
      </x:c>
      <x:c r="C20" s="16" t="n">
        <x:v>12098.31</x:v>
      </x:c>
      <x:c r="D20" s="16" t="n">
        <x:v>1147.77</x:v>
      </x:c>
      <x:c r="E20" s="16" t="n">
        <x:v>5209.9</x:v>
      </x:c>
      <x:c r="F20" s="16" t="n">
        <x:v>691</x:v>
      </x:c>
      <x:c r="G20" s="16" t="n">
        <x:f>C20*(1+Assumptions!$B$7)</x:f>
        <x:v>12582.2424</x:v>
      </x:c>
      <x:c r="H20" s="16" t="n">
        <x:f>C20*(1+Assumptions!$B$10)</x:f>
        <x:v>11977.3269</x:v>
      </x:c>
      <x:c r="I20" s="16" t="n">
        <x:f>D20*(1+Assumptions!$B$10)+H20*Assumptions!$B$9</x:f>
        <x:v>776.9724930000001</x:v>
      </x:c>
      <x:c r="J20" s="16" t="n">
        <x:f>H20*Assumptions!$B$4</x:f>
        <x:v>239.546538</x:v>
      </x:c>
      <x:c r="K20" s="16" t="n">
        <x:f>H20*Assumptions!$B$5</x:f>
        <x:v>359.31980699999997</x:v>
      </x:c>
      <x:c r="L20" s="16" t="n">
        <x:f>H20-SUM(I20:K20)</x:f>
        <x:v>10601.488062</x:v>
      </x:c>
      <x:c r="M20" s="16" t="n">
        <x:f>E20*(1+Assumptions!$B$10)</x:f>
        <x:v>5157.8009999999995</x:v>
      </x:c>
      <x:c r="N20" s="16" t="n">
        <x:f>H20*Assumptions!$B$6</x:f>
        <x:v>598.866345</x:v>
      </x:c>
      <x:c r="O20" s="16" t="n">
        <x:f>L20-SUM(M20:N20)</x:f>
        <x:v>4844.8207170000005</x:v>
      </x:c>
    </x:row>
    <x:row r="21">
      <x:c r="A21" t="str">
        <x:v>2025-05</x:v>
      </x:c>
      <x:c r="B21" t="str">
        <x:v>Home</x:v>
      </x:c>
      <x:c r="C21" s="16" t="n">
        <x:v>10739.47</x:v>
      </x:c>
      <x:c r="D21" s="16" t="n">
        <x:v>1378.48</x:v>
      </x:c>
      <x:c r="E21" s="16" t="n">
        <x:v>5505.75</x:v>
      </x:c>
      <x:c r="F21" s="16" t="n">
        <x:v>442</x:v>
      </x:c>
      <x:c r="G21" s="16" t="n">
        <x:f>C21*(1+Assumptions!$B$7)</x:f>
        <x:v>11169.0488</x:v>
      </x:c>
      <x:c r="H21" s="16" t="n">
        <x:f>C21*(1+Assumptions!$B$10)</x:f>
        <x:v>10632.075299999999</x:v>
      </x:c>
      <x:c r="I21" s="16" t="n">
        <x:f>D21*(1+Assumptions!$B$10)+H21*Assumptions!$B$9</x:f>
        <x:v>1045.7329410000002</x:v>
      </x:c>
      <x:c r="J21" s="16" t="n">
        <x:f>H21*Assumptions!$B$4</x:f>
        <x:v>212.64150599999996</x:v>
      </x:c>
      <x:c r="K21" s="16" t="n">
        <x:f>H21*Assumptions!$B$5</x:f>
        <x:v>318.96225899999996</x:v>
      </x:c>
      <x:c r="L21" s="16" t="n">
        <x:f>H21-SUM(I21:K21)</x:f>
        <x:v>9054.738593999999</x:v>
      </x:c>
      <x:c r="M21" s="16" t="n">
        <x:f>E21*(1+Assumptions!$B$10)</x:f>
        <x:v>5450.6925</x:v>
      </x:c>
      <x:c r="N21" s="16" t="n">
        <x:f>H21*Assumptions!$B$6</x:f>
        <x:v>531.603765</x:v>
      </x:c>
      <x:c r="O21" s="16" t="n">
        <x:f>L21-SUM(M21:N21)</x:f>
        <x:v>3072.4423289999986</x:v>
      </x:c>
    </x:row>
    <x:row r="22">
      <x:c r="A22" t="str">
        <x:v>2025-05</x:v>
      </x:c>
      <x:c r="B22" t="str">
        <x:v>Kitchen</x:v>
      </x:c>
      <x:c r="C22" s="16" t="n">
        <x:v>16248.92</x:v>
      </x:c>
      <x:c r="D22" s="16" t="n">
        <x:v>1743.56</x:v>
      </x:c>
      <x:c r="E22" s="16" t="n">
        <x:v>9154.06</x:v>
      </x:c>
      <x:c r="F22" s="16" t="n">
        <x:v>505</x:v>
      </x:c>
      <x:c r="G22" s="16" t="n">
        <x:f>C22*(1+Assumptions!$B$7)</x:f>
        <x:v>16898.876800000002</x:v>
      </x:c>
      <x:c r="H22" s="16" t="n">
        <x:f>C22*(1+Assumptions!$B$10)</x:f>
        <x:v>16086.4308</x:v>
      </x:c>
      <x:c r="I22" s="16" t="n">
        <x:f>D22*(1+Assumptions!$B$10)+H22*Assumptions!$B$9</x:f>
        <x:v>1243.5314759999999</x:v>
      </x:c>
      <x:c r="J22" s="16" t="n">
        <x:f>H22*Assumptions!$B$4</x:f>
        <x:v>321.728616</x:v>
      </x:c>
      <x:c r="K22" s="16" t="n">
        <x:f>H22*Assumptions!$B$5</x:f>
        <x:v>482.592924</x:v>
      </x:c>
      <x:c r="L22" s="16" t="n">
        <x:f>H22-SUM(I22:K22)</x:f>
        <x:v>14038.577784000001</x:v>
      </x:c>
      <x:c r="M22" s="16" t="n">
        <x:f>E22*(1+Assumptions!$B$10)</x:f>
        <x:v>9062.5194</x:v>
      </x:c>
      <x:c r="N22" s="16" t="n">
        <x:f>H22*Assumptions!$B$6</x:f>
        <x:v>804.32154</x:v>
      </x:c>
      <x:c r="O22" s="16" t="n">
        <x:f>L22-SUM(M22:N22)</x:f>
        <x:v>4171.736844000001</x:v>
      </x:c>
    </x:row>
    <x:row r="23">
      <x:c r="A23" t="str">
        <x:v>2025-05</x:v>
      </x:c>
      <x:c r="B23" t="str">
        <x:v>Seasonal</x:v>
      </x:c>
      <x:c r="C23" s="16" t="n">
        <x:v>6142.76</x:v>
      </x:c>
      <x:c r="D23" s="16" t="n">
        <x:v>607.32</x:v>
      </x:c>
      <x:c r="E23" s="16" t="n">
        <x:v>2843.07</x:v>
      </x:c>
      <x:c r="F23" s="16" t="n">
        <x:v>440</x:v>
      </x:c>
      <x:c r="G23" s="16" t="n">
        <x:f>C23*(1+Assumptions!$B$7)</x:f>
        <x:v>6388.4704</x:v>
      </x:c>
      <x:c r="H23" s="16" t="n">
        <x:f>C23*(1+Assumptions!$B$10)</x:f>
        <x:v>6081.3324</x:v>
      </x:c>
      <x:c r="I23" s="16" t="n">
        <x:f>D23*(1+Assumptions!$B$10)+H23*Assumptions!$B$9</x:f>
        <x:v>418.806828</x:v>
      </x:c>
      <x:c r="J23" s="16" t="n">
        <x:f>H23*Assumptions!$B$4</x:f>
        <x:v>121.626648</x:v>
      </x:c>
      <x:c r="K23" s="16" t="n">
        <x:f>H23*Assumptions!$B$5</x:f>
        <x:v>182.439972</x:v>
      </x:c>
      <x:c r="L23" s="16" t="n">
        <x:f>H23-SUM(I23:K23)</x:f>
        <x:v>5358.458952</x:v>
      </x:c>
      <x:c r="M23" s="16" t="n">
        <x:f>E23*(1+Assumptions!$B$10)</x:f>
        <x:v>2814.6393000000003</x:v>
      </x:c>
      <x:c r="N23" s="16" t="n">
        <x:f>H23*Assumptions!$B$6</x:f>
        <x:v>304.06662</x:v>
      </x:c>
      <x:c r="O23" s="16" t="n">
        <x:f>L23-SUM(M23:N23)</x:f>
        <x:v>2239.7530319999996</x:v>
      </x:c>
    </x:row>
    <x:row r="24">
      <x:c r="A24" t="str">
        <x:v>2025-06</x:v>
      </x:c>
      <x:c r="B24" t="str">
        <x:v>Gifts</x:v>
      </x:c>
      <x:c r="C24" s="16" t="n">
        <x:v>9405.43</x:v>
      </x:c>
      <x:c r="D24" s="16" t="n">
        <x:v>867.99</x:v>
      </x:c>
      <x:c r="E24" s="16" t="n">
        <x:v>4069.13</x:v>
      </x:c>
      <x:c r="F24" s="16" t="n">
        <x:v>532</x:v>
      </x:c>
      <x:c r="G24" s="16" t="n">
        <x:f>C24*(1+Assumptions!$B$7)</x:f>
        <x:v>9781.647200000001</x:v>
      </x:c>
      <x:c r="H24" s="16" t="n">
        <x:f>C24*(1+Assumptions!$B$10)</x:f>
        <x:v>9311.3757</x:v>
      </x:c>
      <x:c r="I24" s="16" t="n">
        <x:f>D24*(1+Assumptions!$B$10)+H24*Assumptions!$B$9</x:f>
        <x:v>579.968829</x:v>
      </x:c>
      <x:c r="J24" s="16" t="n">
        <x:f>H24*Assumptions!$B$4</x:f>
        <x:v>186.227514</x:v>
      </x:c>
      <x:c r="K24" s="16" t="n">
        <x:f>H24*Assumptions!$B$5</x:f>
        <x:v>279.341271</x:v>
      </x:c>
      <x:c r="L24" s="16" t="n">
        <x:f>H24-SUM(I24:K24)</x:f>
        <x:v>8265.838086</x:v>
      </x:c>
      <x:c r="M24" s="16" t="n">
        <x:f>E24*(1+Assumptions!$B$10)</x:f>
        <x:v>4028.4387</x:v>
      </x:c>
      <x:c r="N24" s="16" t="n">
        <x:f>H24*Assumptions!$B$6</x:f>
        <x:v>465.56878500000005</x:v>
      </x:c>
      <x:c r="O24" s="16" t="n">
        <x:f>L24-SUM(M24:N24)</x:f>
        <x:v>3771.8306009999997</x:v>
      </x:c>
    </x:row>
    <x:row r="25">
      <x:c r="A25" t="str">
        <x:v>2025-06</x:v>
      </x:c>
      <x:c r="B25" t="str">
        <x:v>Home</x:v>
      </x:c>
      <x:c r="C25" s="16" t="n">
        <x:v>12178.05</x:v>
      </x:c>
      <x:c r="D25" s="16" t="n">
        <x:v>1097.73</x:v>
      </x:c>
      <x:c r="E25" s="16" t="n">
        <x:v>6242.5</x:v>
      </x:c>
      <x:c r="F25" s="16" t="n">
        <x:v>508</x:v>
      </x:c>
      <x:c r="G25" s="16" t="n">
        <x:f>C25*(1+Assumptions!$B$7)</x:f>
        <x:v>12665.172</x:v>
      </x:c>
      <x:c r="H25" s="16" t="n">
        <x:f>C25*(1+Assumptions!$B$10)</x:f>
        <x:v>12056.269499999999</x:v>
      </x:c>
      <x:c r="I25" s="16" t="n">
        <x:f>D25*(1+Assumptions!$B$10)+H25*Assumptions!$B$9</x:f>
        <x:v>725.064615</x:v>
      </x:c>
      <x:c r="J25" s="16" t="n">
        <x:f>H25*Assumptions!$B$4</x:f>
        <x:v>241.12538999999998</x:v>
      </x:c>
      <x:c r="K25" s="16" t="n">
        <x:f>H25*Assumptions!$B$5</x:f>
        <x:v>361.68808499999994</x:v>
      </x:c>
      <x:c r="L25" s="16" t="n">
        <x:f>H25-SUM(I25:K25)</x:f>
        <x:v>10728.391409999998</x:v>
      </x:c>
      <x:c r="M25" s="16" t="n">
        <x:f>E25*(1+Assumptions!$B$10)</x:f>
        <x:v>6180.075</x:v>
      </x:c>
      <x:c r="N25" s="16" t="n">
        <x:f>H25*Assumptions!$B$6</x:f>
        <x:v>602.8134749999999</x:v>
      </x:c>
      <x:c r="O25" s="16" t="n">
        <x:f>L25-SUM(M25:N25)</x:f>
        <x:v>3945.5029349999986</x:v>
      </x:c>
    </x:row>
    <x:row r="26">
      <x:c r="A26" t="str">
        <x:v>2025-06</x:v>
      </x:c>
      <x:c r="B26" t="str">
        <x:v>Kitchen</x:v>
      </x:c>
      <x:c r="C26" s="16" t="n">
        <x:v>18719.76</x:v>
      </x:c>
      <x:c r="D26" s="16" t="n">
        <x:v>2022.96</x:v>
      </x:c>
      <x:c r="E26" s="16" t="n">
        <x:v>10740.86</x:v>
      </x:c>
      <x:c r="F26" s="16" t="n">
        <x:v>594</x:v>
      </x:c>
      <x:c r="G26" s="16" t="n">
        <x:f>C26*(1+Assumptions!$B$7)</x:f>
        <x:v>19468.5504</x:v>
      </x:c>
      <x:c r="H26" s="16" t="n">
        <x:f>C26*(1+Assumptions!$B$10)</x:f>
        <x:v>18532.5624</x:v>
      </x:c>
      <x:c r="I26" s="16" t="n">
        <x:f>D26*(1+Assumptions!$B$10)+H26*Assumptions!$B$9</x:f>
        <x:v>1446.753528</x:v>
      </x:c>
      <x:c r="J26" s="16" t="n">
        <x:f>H26*Assumptions!$B$4</x:f>
        <x:v>370.651248</x:v>
      </x:c>
      <x:c r="K26" s="16" t="n">
        <x:f>H26*Assumptions!$B$5</x:f>
        <x:v>555.976872</x:v>
      </x:c>
      <x:c r="L26" s="16" t="n">
        <x:f>H26-SUM(I26:K26)</x:f>
        <x:v>16159.180752</x:v>
      </x:c>
      <x:c r="M26" s="16" t="n">
        <x:f>E26*(1+Assumptions!$B$10)</x:f>
        <x:v>10633.4514</x:v>
      </x:c>
      <x:c r="N26" s="16" t="n">
        <x:f>H26*Assumptions!$B$6</x:f>
        <x:v>926.62812</x:v>
      </x:c>
      <x:c r="O26" s="16" t="n">
        <x:f>L26-SUM(M26:N26)</x:f>
        <x:v>4599.101232000001</x:v>
      </x:c>
    </x:row>
    <x:row r="27">
      <x:c r="A27" t="str">
        <x:v>2025-06</x:v>
      </x:c>
      <x:c r="B27" t="str">
        <x:v>Seasonal</x:v>
      </x:c>
      <x:c r="C27" s="16" t="n">
        <x:v>5438.44</x:v>
      </x:c>
      <x:c r="D27" s="16" t="n">
        <x:v>686.37</x:v>
      </x:c>
      <x:c r="E27" s="16" t="n">
        <x:v>2496.8</x:v>
      </x:c>
      <x:c r="F27" s="16" t="n">
        <x:v>365</x:v>
      </x:c>
      <x:c r="G27" s="16" t="n">
        <x:f>C27*(1+Assumptions!$B$7)</x:f>
        <x:v>5655.9776</x:v>
      </x:c>
      <x:c r="H27" s="16" t="n">
        <x:f>C27*(1+Assumptions!$B$10)</x:f>
        <x:v>5384.0556</x:v>
      </x:c>
      <x:c r="I27" s="16" t="n">
        <x:f>D27*(1+Assumptions!$B$10)+H27*Assumptions!$B$9</x:f>
        <x:v>517.984632</x:v>
      </x:c>
      <x:c r="J27" s="16" t="n">
        <x:f>H27*Assumptions!$B$4</x:f>
        <x:v>107.681112</x:v>
      </x:c>
      <x:c r="K27" s="16" t="n">
        <x:f>H27*Assumptions!$B$5</x:f>
        <x:v>161.52166799999998</x:v>
      </x:c>
      <x:c r="L27" s="16" t="n">
        <x:f>H27-SUM(I27:K27)</x:f>
        <x:v>4596.8681879999995</x:v>
      </x:c>
      <x:c r="M27" s="16" t="n">
        <x:f>E27*(1+Assumptions!$B$10)</x:f>
        <x:v>2471.8320000000003</x:v>
      </x:c>
      <x:c r="N27" s="16" t="n">
        <x:f>H27*Assumptions!$B$6</x:f>
        <x:v>269.20278</x:v>
      </x:c>
      <x:c r="O27" s="16" t="n">
        <x:f>L27-SUM(M27:N27)</x:f>
        <x:v>1855.833407999999</x:v>
      </x:c>
    </x:row>
    <x:row r="28">
      <x:c r="A28" t="str">
        <x:v>2025-07</x:v>
      </x:c>
      <x:c r="B28" t="str">
        <x:v>Gifts</x:v>
      </x:c>
      <x:c r="C28" s="16" t="n">
        <x:v>8222.2</x:v>
      </x:c>
      <x:c r="D28" s="16" t="n">
        <x:v>990.08</x:v>
      </x:c>
      <x:c r="E28" s="16" t="n">
        <x:v>3528.91</x:v>
      </x:c>
      <x:c r="F28" s="16" t="n">
        <x:v>455</x:v>
      </x:c>
      <x:c r="G28" s="16" t="n">
        <x:f>C28*(1+Assumptions!$B$7)</x:f>
        <x:v>8551.088000000002</x:v>
      </x:c>
      <x:c r="H28" s="16" t="n">
        <x:f>C28*(1+Assumptions!$B$10)</x:f>
        <x:v>8139.978000000001</x:v>
      </x:c>
      <x:c r="I28" s="16" t="n">
        <x:f>D28*(1+Assumptions!$B$10)+H28*Assumptions!$B$9</x:f>
        <x:v>735.97986</x:v>
      </x:c>
      <x:c r="J28" s="16" t="n">
        <x:f>H28*Assumptions!$B$4</x:f>
        <x:v>162.79956</x:v>
      </x:c>
      <x:c r="K28" s="16" t="n">
        <x:f>H28*Assumptions!$B$5</x:f>
        <x:v>244.19934</x:v>
      </x:c>
      <x:c r="L28" s="16" t="n">
        <x:f>H28-SUM(I28:K28)</x:f>
        <x:v>6996.999240000001</x:v>
      </x:c>
      <x:c r="M28" s="16" t="n">
        <x:f>E28*(1+Assumptions!$B$10)</x:f>
        <x:v>3493.6209</x:v>
      </x:c>
      <x:c r="N28" s="16" t="n">
        <x:f>H28*Assumptions!$B$6</x:f>
        <x:v>406.99890000000005</x:v>
      </x:c>
      <x:c r="O28" s="16" t="n">
        <x:f>L28-SUM(M28:N28)</x:f>
        <x:v>3096.379440000001</x:v>
      </x:c>
    </x:row>
    <x:row r="29">
      <x:c r="A29" t="str">
        <x:v>2025-07</x:v>
      </x:c>
      <x:c r="B29" t="str">
        <x:v>Home</x:v>
      </x:c>
      <x:c r="C29" s="16" t="n">
        <x:v>10258.05</x:v>
      </x:c>
      <x:c r="D29" s="16" t="n">
        <x:v>1322.11</x:v>
      </x:c>
      <x:c r="E29" s="16" t="n">
        <x:v>5214.5</x:v>
      </x:c>
      <x:c r="F29" s="16" t="n">
        <x:v>410</x:v>
      </x:c>
      <x:c r="G29" s="16" t="n">
        <x:f>C29*(1+Assumptions!$B$7)</x:f>
        <x:v>10668.372</x:v>
      </x:c>
      <x:c r="H29" s="16" t="n">
        <x:f>C29*(1+Assumptions!$B$10)</x:f>
        <x:v>10155.4695</x:v>
      </x:c>
      <x:c r="I29" s="16" t="n">
        <x:f>D29*(1+Assumptions!$B$10)+H29*Assumptions!$B$9</x:f>
        <x:v>1004.224815</x:v>
      </x:c>
      <x:c r="J29" s="16" t="n">
        <x:f>H29*Assumptions!$B$4</x:f>
        <x:v>203.10939</x:v>
      </x:c>
      <x:c r="K29" s="16" t="n">
        <x:f>H29*Assumptions!$B$5</x:f>
        <x:v>304.66408499999994</x:v>
      </x:c>
      <x:c r="L29" s="16" t="n">
        <x:f>H29-SUM(I29:K29)</x:f>
        <x:v>8643.47121</x:v>
      </x:c>
      <x:c r="M29" s="16" t="n">
        <x:f>E29*(1+Assumptions!$B$10)</x:f>
        <x:v>5162.355</x:v>
      </x:c>
      <x:c r="N29" s="16" t="n">
        <x:f>H29*Assumptions!$B$6</x:f>
        <x:v>507.77347499999996</x:v>
      </x:c>
      <x:c r="O29" s="16" t="n">
        <x:f>L29-SUM(M29:N29)</x:f>
        <x:v>2973.342735</x:v>
      </x:c>
    </x:row>
    <x:row r="30">
      <x:c r="A30" t="str">
        <x:v>2025-07</x:v>
      </x:c>
      <x:c r="B30" t="str">
        <x:v>Kitchen</x:v>
      </x:c>
      <x:c r="C30" s="16" t="n">
        <x:v>22303.9</x:v>
      </x:c>
      <x:c r="D30" s="16" t="n">
        <x:v>2451.54</x:v>
      </x:c>
      <x:c r="E30" s="16" t="n">
        <x:v>12722.37</x:v>
      </x:c>
      <x:c r="F30" s="16" t="n">
        <x:v>677</x:v>
      </x:c>
      <x:c r="G30" s="16" t="n">
        <x:f>C30*(1+Assumptions!$B$7)</x:f>
        <x:v>23196.056</x:v>
      </x:c>
      <x:c r="H30" s="16" t="n">
        <x:f>C30*(1+Assumptions!$B$10)</x:f>
        <x:v>22080.861</x:v>
      </x:c>
      <x:c r="I30" s="16" t="n">
        <x:f>D30*(1+Assumptions!$B$10)+H30*Assumptions!$B$9</x:f>
        <x:v>1764.5987699999996</x:v>
      </x:c>
      <x:c r="J30" s="16" t="n">
        <x:f>H30*Assumptions!$B$4</x:f>
        <x:v>441.61722000000003</x:v>
      </x:c>
      <x:c r="K30" s="16" t="n">
        <x:f>H30*Assumptions!$B$5</x:f>
        <x:v>662.42583</x:v>
      </x:c>
      <x:c r="L30" s="16" t="n">
        <x:f>H30-SUM(I30:K30)</x:f>
        <x:v>19212.21918</x:v>
      </x:c>
      <x:c r="M30" s="16" t="n">
        <x:f>E30*(1+Assumptions!$B$10)</x:f>
        <x:v>12595.1463</x:v>
      </x:c>
      <x:c r="N30" s="16" t="n">
        <x:f>H30*Assumptions!$B$6</x:f>
        <x:v>1104.04305</x:v>
      </x:c>
      <x:c r="O30" s="16" t="n">
        <x:f>L30-SUM(M30:N30)</x:f>
        <x:v>5513.0298299999995</x:v>
      </x:c>
    </x:row>
    <x:row r="31">
      <x:c r="A31" t="str">
        <x:v>2025-07</x:v>
      </x:c>
      <x:c r="B31" t="str">
        <x:v>Seasonal</x:v>
      </x:c>
      <x:c r="C31" s="16" t="n">
        <x:v>6667.55</x:v>
      </x:c>
      <x:c r="D31" s="16" t="n">
        <x:v>705.17</x:v>
      </x:c>
      <x:c r="E31" s="16" t="n">
        <x:v>3034.09</x:v>
      </x:c>
      <x:c r="F31" s="16" t="n">
        <x:v>455</x:v>
      </x:c>
      <x:c r="G31" s="16" t="n">
        <x:f>C31*(1+Assumptions!$B$7)</x:f>
        <x:v>6934.252</x:v>
      </x:c>
      <x:c r="H31" s="16" t="n">
        <x:f>C31*(1+Assumptions!$B$10)</x:f>
        <x:v>6600.8745</x:v>
      </x:c>
      <x:c r="I31" s="16" t="n">
        <x:f>D31*(1+Assumptions!$B$10)+H31*Assumptions!$B$9</x:f>
        <x:v>500.092065</x:v>
      </x:c>
      <x:c r="J31" s="16" t="n">
        <x:f>H31*Assumptions!$B$4</x:f>
        <x:v>132.01749</x:v>
      </x:c>
      <x:c r="K31" s="16" t="n">
        <x:f>H31*Assumptions!$B$5</x:f>
        <x:v>198.02623499999999</x:v>
      </x:c>
      <x:c r="L31" s="16" t="n">
        <x:f>H31-SUM(I31:K31)</x:f>
        <x:v>5770.73871</x:v>
      </x:c>
      <x:c r="M31" s="16" t="n">
        <x:f>E31*(1+Assumptions!$B$10)</x:f>
        <x:v>3003.7491</x:v>
      </x:c>
      <x:c r="N31" s="16" t="n">
        <x:f>H31*Assumptions!$B$6</x:f>
        <x:v>330.043725</x:v>
      </x:c>
      <x:c r="O31" s="16" t="n">
        <x:f>L31-SUM(M31:N31)</x:f>
        <x:v>2436.9458849999996</x:v>
      </x:c>
    </x:row>
    <x:row r="32">
      <x:c r="A32" t="str">
        <x:v>2025-08</x:v>
      </x:c>
      <x:c r="B32" t="str">
        <x:v>Gifts</x:v>
      </x:c>
      <x:c r="C32" s="16" t="n">
        <x:v>10052.73</x:v>
      </x:c>
      <x:c r="D32" s="16" t="n">
        <x:v>988.01</x:v>
      </x:c>
      <x:c r="E32" s="16" t="n">
        <x:v>4298.54</x:v>
      </x:c>
      <x:c r="F32" s="16" t="n">
        <x:v>571</x:v>
      </x:c>
      <x:c r="G32" s="16" t="n">
        <x:f>C32*(1+Assumptions!$B$7)</x:f>
        <x:v>10454.8392</x:v>
      </x:c>
      <x:c r="H32" s="16" t="n">
        <x:f>C32*(1+Assumptions!$B$10)</x:f>
        <x:v>9952.2027</x:v>
      </x:c>
      <x:c r="I32" s="16" t="n">
        <x:f>D32*(1+Assumptions!$B$10)+H32*Assumptions!$B$9</x:f>
        <x:v>679.563819</x:v>
      </x:c>
      <x:c r="J32" s="16" t="n">
        <x:f>H32*Assumptions!$B$4</x:f>
        <x:v>199.044054</x:v>
      </x:c>
      <x:c r="K32" s="16" t="n">
        <x:f>H32*Assumptions!$B$5</x:f>
        <x:v>298.566081</x:v>
      </x:c>
      <x:c r="L32" s="16" t="n">
        <x:f>H32-SUM(I32:K32)</x:f>
        <x:v>8775.028746</x:v>
      </x:c>
      <x:c r="M32" s="16" t="n">
        <x:f>E32*(1+Assumptions!$B$10)</x:f>
        <x:v>4255.5545999999995</x:v>
      </x:c>
      <x:c r="N32" s="16" t="n">
        <x:f>H32*Assumptions!$B$6</x:f>
        <x:v>497.610135</x:v>
      </x:c>
      <x:c r="O32" s="16" t="n">
        <x:f>L32-SUM(M32:N32)</x:f>
        <x:v>4021.8640110000006</x:v>
      </x:c>
    </x:row>
    <x:row r="33">
      <x:c r="A33" t="str">
        <x:v>2025-08</x:v>
      </x:c>
      <x:c r="B33" t="str">
        <x:v>Home</x:v>
      </x:c>
      <x:c r="C33" s="16" t="n">
        <x:v>13822.11</x:v>
      </x:c>
      <x:c r="D33" s="16" t="n">
        <x:v>1658.76</x:v>
      </x:c>
      <x:c r="E33" s="16" t="n">
        <x:v>7030.3</x:v>
      </x:c>
      <x:c r="F33" s="16" t="n">
        <x:v>585</x:v>
      </x:c>
      <x:c r="G33" s="16" t="n">
        <x:f>C33*(1+Assumptions!$B$7)</x:f>
        <x:v>14374.994400000001</x:v>
      </x:c>
      <x:c r="H33" s="16" t="n">
        <x:f>C33*(1+Assumptions!$B$10)</x:f>
        <x:v>13683.8889</x:v>
      </x:c>
      <x:c r="I33" s="16" t="n">
        <x:f>D33*(1+Assumptions!$B$10)+H33*Assumptions!$B$9</x:f>
        <x:v>1231.655733</x:v>
      </x:c>
      <x:c r="J33" s="16" t="n">
        <x:f>H33*Assumptions!$B$4</x:f>
        <x:v>273.677778</x:v>
      </x:c>
      <x:c r="K33" s="16" t="n">
        <x:f>H33*Assumptions!$B$5</x:f>
        <x:v>410.516667</x:v>
      </x:c>
      <x:c r="L33" s="16" t="n">
        <x:f>H33-SUM(I33:K33)</x:f>
        <x:v>11768.038722</x:v>
      </x:c>
      <x:c r="M33" s="16" t="n">
        <x:f>E33*(1+Assumptions!$B$10)</x:f>
        <x:v>6959.997</x:v>
      </x:c>
      <x:c r="N33" s="16" t="n">
        <x:f>H33*Assumptions!$B$6</x:f>
        <x:v>684.1944450000001</x:v>
      </x:c>
      <x:c r="O33" s="16" t="n">
        <x:f>L33-SUM(M33:N33)</x:f>
        <x:v>4123.847276999999</x:v>
      </x:c>
    </x:row>
    <x:row r="34">
      <x:c r="A34" t="str">
        <x:v>2025-08</x:v>
      </x:c>
      <x:c r="B34" t="str">
        <x:v>Kitchen</x:v>
      </x:c>
      <x:c r="C34" s="16" t="n">
        <x:v>17103.92</x:v>
      </x:c>
      <x:c r="D34" s="16" t="n">
        <x:v>1895.03</x:v>
      </x:c>
      <x:c r="E34" s="16" t="n">
        <x:v>9723.42</x:v>
      </x:c>
      <x:c r="F34" s="16" t="n">
        <x:v>533</x:v>
      </x:c>
      <x:c r="G34" s="16" t="n">
        <x:f>C34*(1+Assumptions!$B$7)</x:f>
        <x:v>17788.0768</x:v>
      </x:c>
      <x:c r="H34" s="16" t="n">
        <x:f>C34*(1+Assumptions!$B$10)</x:f>
        <x:v>16932.8808</x:v>
      </x:c>
      <x:c r="I34" s="16" t="n">
        <x:f>D34*(1+Assumptions!$B$10)+H34*Assumptions!$B$9</x:f>
        <x:v>1368.093276</x:v>
      </x:c>
      <x:c r="J34" s="16" t="n">
        <x:f>H34*Assumptions!$B$4</x:f>
        <x:v>338.65761599999996</x:v>
      </x:c>
      <x:c r="K34" s="16" t="n">
        <x:f>H34*Assumptions!$B$5</x:f>
        <x:v>507.98642399999994</x:v>
      </x:c>
      <x:c r="L34" s="16" t="n">
        <x:f>H34-SUM(I34:K34)</x:f>
        <x:v>14718.143484</x:v>
      </x:c>
      <x:c r="M34" s="16" t="n">
        <x:f>E34*(1+Assumptions!$B$10)</x:f>
        <x:v>9626.1858</x:v>
      </x:c>
      <x:c r="N34" s="16" t="n">
        <x:f>H34*Assumptions!$B$6</x:f>
        <x:v>846.64404</x:v>
      </x:c>
      <x:c r="O34" s="16" t="n">
        <x:f>L34-SUM(M34:N34)</x:f>
        <x:v>4245.313644000002</x:v>
      </x:c>
    </x:row>
    <x:row r="35">
      <x:c r="A35" t="str">
        <x:v>2025-08</x:v>
      </x:c>
      <x:c r="B35" t="str">
        <x:v>Seasonal</x:v>
      </x:c>
      <x:c r="C35" s="16" t="n">
        <x:v>5708.13</x:v>
      </x:c>
      <x:c r="D35" s="16" t="n">
        <x:v>614.15</x:v>
      </x:c>
      <x:c r="E35" s="16" t="n">
        <x:v>2624.5</x:v>
      </x:c>
      <x:c r="F35" s="16" t="n">
        <x:v>401</x:v>
      </x:c>
      <x:c r="G35" s="16" t="n">
        <x:f>C35*(1+Assumptions!$B$7)</x:f>
        <x:v>5936.4552</x:v>
      </x:c>
      <x:c r="H35" s="16" t="n">
        <x:f>C35*(1+Assumptions!$B$10)</x:f>
        <x:v>5651.0487</x:v>
      </x:c>
      <x:c r="I35" s="16" t="n">
        <x:f>D35*(1+Assumptions!$B$10)+H35*Assumptions!$B$9</x:f>
        <x:v>438.477039</x:v>
      </x:c>
      <x:c r="J35" s="16" t="n">
        <x:f>H35*Assumptions!$B$4</x:f>
        <x:v>113.02097400000001</x:v>
      </x:c>
      <x:c r="K35" s="16" t="n">
        <x:f>H35*Assumptions!$B$5</x:f>
        <x:v>169.531461</x:v>
      </x:c>
      <x:c r="L35" s="16" t="n">
        <x:f>H35-SUM(I35:K35)</x:f>
        <x:v>4930.019226</x:v>
      </x:c>
      <x:c r="M35" s="16" t="n">
        <x:f>E35*(1+Assumptions!$B$10)</x:f>
        <x:v>2598.255</x:v>
      </x:c>
      <x:c r="N35" s="16" t="n">
        <x:f>H35*Assumptions!$B$6</x:f>
        <x:v>282.552435</x:v>
      </x:c>
      <x:c r="O35" s="16" t="n">
        <x:f>L35-SUM(M35:N35)</x:f>
        <x:v>2049.211791</x:v>
      </x:c>
    </x:row>
    <x:row r="36">
      <x:c r="A36" t="str">
        <x:v>2025-09</x:v>
      </x:c>
      <x:c r="B36" t="str">
        <x:v>Gifts</x:v>
      </x:c>
      <x:c r="C36" s="16" t="n">
        <x:v>10058.83</x:v>
      </x:c>
      <x:c r="D36" s="16" t="n">
        <x:v>1178.46</x:v>
      </x:c>
      <x:c r="E36" s="16" t="n">
        <x:v>4346.31</x:v>
      </x:c>
      <x:c r="F36" s="16" t="n">
        <x:v>586</x:v>
      </x:c>
      <x:c r="G36" s="16" t="n">
        <x:f>C36*(1+Assumptions!$B$7)</x:f>
        <x:v>10461.1832</x:v>
      </x:c>
      <x:c r="H36" s="16" t="n">
        <x:f>C36*(1+Assumptions!$B$10)</x:f>
        <x:v>9958.2417</x:v>
      </x:c>
      <x:c r="I36" s="16" t="n">
        <x:f>D36*(1+Assumptions!$B$10)+H36*Assumptions!$B$9</x:f>
        <x:v>867.9281490000001</x:v>
      </x:c>
      <x:c r="J36" s="16" t="n">
        <x:f>H36*Assumptions!$B$4</x:f>
        <x:v>199.164834</x:v>
      </x:c>
      <x:c r="K36" s="16" t="n">
        <x:f>H36*Assumptions!$B$5</x:f>
        <x:v>298.747251</x:v>
      </x:c>
      <x:c r="L36" s="16" t="n">
        <x:f>H36-SUM(I36:K36)</x:f>
        <x:v>8592.401466000001</x:v>
      </x:c>
      <x:c r="M36" s="16" t="n">
        <x:f>E36*(1+Assumptions!$B$10)</x:f>
        <x:v>4302.8469000000005</x:v>
      </x:c>
      <x:c r="N36" s="16" t="n">
        <x:f>H36*Assumptions!$B$6</x:f>
        <x:v>497.91208500000005</x:v>
      </x:c>
      <x:c r="O36" s="16" t="n">
        <x:f>L36-SUM(M36:N36)</x:f>
        <x:v>3791.6424810000008</x:v>
      </x:c>
    </x:row>
    <x:row r="37">
      <x:c r="A37" t="str">
        <x:v>2025-09</x:v>
      </x:c>
      <x:c r="B37" t="str">
        <x:v>Home</x:v>
      </x:c>
      <x:c r="C37" s="16" t="n">
        <x:v>13537.5</x:v>
      </x:c>
      <x:c r="D37" s="16" t="n">
        <x:v>1372.02</x:v>
      </x:c>
      <x:c r="E37" s="16" t="n">
        <x:v>6914.97</x:v>
      </x:c>
      <x:c r="F37" s="16" t="n">
        <x:v>584</x:v>
      </x:c>
      <x:c r="G37" s="16" t="n">
        <x:f>C37*(1+Assumptions!$B$7)</x:f>
        <x:v>14079</x:v>
      </x:c>
      <x:c r="H37" s="16" t="n">
        <x:f>C37*(1+Assumptions!$B$10)</x:f>
        <x:v>13402.125</x:v>
      </x:c>
      <x:c r="I37" s="16" t="n">
        <x:f>D37*(1+Assumptions!$B$10)+H37*Assumptions!$B$9</x:f>
        <x:v>956.23605</x:v>
      </x:c>
      <x:c r="J37" s="16" t="n">
        <x:f>H37*Assumptions!$B$4</x:f>
        <x:v>268.0425</x:v>
      </x:c>
      <x:c r="K37" s="16" t="n">
        <x:f>H37*Assumptions!$B$5</x:f>
        <x:v>402.06374999999997</x:v>
      </x:c>
      <x:c r="L37" s="16" t="n">
        <x:f>H37-SUM(I37:K37)</x:f>
        <x:v>11775.7827</x:v>
      </x:c>
      <x:c r="M37" s="16" t="n">
        <x:f>E37*(1+Assumptions!$B$10)</x:f>
        <x:v>6845.8203</x:v>
      </x:c>
      <x:c r="N37" s="16" t="n">
        <x:f>H37*Assumptions!$B$6</x:f>
        <x:v>670.10625</x:v>
      </x:c>
      <x:c r="O37" s="16" t="n">
        <x:f>L37-SUM(M37:N37)</x:f>
        <x:v>4259.85615</x:v>
      </x:c>
    </x:row>
    <x:row r="38">
      <x:c r="A38" t="str">
        <x:v>2025-09</x:v>
      </x:c>
      <x:c r="B38" t="str">
        <x:v>Kitchen</x:v>
      </x:c>
      <x:c r="C38" s="16" t="n">
        <x:v>14474.56</x:v>
      </x:c>
      <x:c r="D38" s="16" t="n">
        <x:v>1480.3</x:v>
      </x:c>
      <x:c r="E38" s="16" t="n">
        <x:v>8200.19</x:v>
      </x:c>
      <x:c r="F38" s="16" t="n">
        <x:v>453</x:v>
      </x:c>
      <x:c r="G38" s="16" t="n">
        <x:f>C38*(1+Assumptions!$B$7)</x:f>
        <x:v>15053.5424</x:v>
      </x:c>
      <x:c r="H38" s="16" t="n">
        <x:f>C38*(1+Assumptions!$B$10)</x:f>
        <x:v>14329.8144</x:v>
      </x:c>
      <x:c r="I38" s="16" t="n">
        <x:f>D38*(1+Assumptions!$B$10)+H38*Assumptions!$B$9</x:f>
        <x:v>1035.6025679999998</x:v>
      </x:c>
      <x:c r="J38" s="16" t="n">
        <x:f>H38*Assumptions!$B$4</x:f>
        <x:v>286.596288</x:v>
      </x:c>
      <x:c r="K38" s="16" t="n">
        <x:f>H38*Assumptions!$B$5</x:f>
        <x:v>429.89443199999994</x:v>
      </x:c>
      <x:c r="L38" s="16" t="n">
        <x:f>H38-SUM(I38:K38)</x:f>
        <x:v>12577.721112</x:v>
      </x:c>
      <x:c r="M38" s="16" t="n">
        <x:f>E38*(1+Assumptions!$B$10)</x:f>
        <x:v>8118.1881</x:v>
      </x:c>
      <x:c r="N38" s="16" t="n">
        <x:f>H38*Assumptions!$B$6</x:f>
        <x:v>716.49072</x:v>
      </x:c>
      <x:c r="O38" s="16" t="n">
        <x:f>L38-SUM(M38:N38)</x:f>
        <x:v>3743.0422919999983</x:v>
      </x:c>
    </x:row>
    <x:row r="39">
      <x:c r="A39" t="str">
        <x:v>2025-09</x:v>
      </x:c>
      <x:c r="B39" t="str">
        <x:v>Seasonal</x:v>
      </x:c>
      <x:c r="C39" s="16" t="n">
        <x:v>7048.53</x:v>
      </x:c>
      <x:c r="D39" s="16" t="n">
        <x:v>816.86</x:v>
      </x:c>
      <x:c r="E39" s="16" t="n">
        <x:v>3232.01</x:v>
      </x:c>
      <x:c r="F39" s="16" t="n">
        <x:v>471</x:v>
      </x:c>
      <x:c r="G39" s="16" t="n">
        <x:f>C39*(1+Assumptions!$B$7)</x:f>
        <x:v>7330.4712</x:v>
      </x:c>
      <x:c r="H39" s="16" t="n">
        <x:f>C39*(1+Assumptions!$B$10)</x:f>
        <x:v>6978.0446999999995</x:v>
      </x:c>
      <x:c r="I39" s="16" t="n">
        <x:f>D39*(1+Assumptions!$B$10)+H39*Assumptions!$B$9</x:f>
        <x:v>599.3500590000001</x:v>
      </x:c>
      <x:c r="J39" s="16" t="n">
        <x:f>H39*Assumptions!$B$4</x:f>
        <x:v>139.560894</x:v>
      </x:c>
      <x:c r="K39" s="16" t="n">
        <x:f>H39*Assumptions!$B$5</x:f>
        <x:v>209.34134099999997</x:v>
      </x:c>
      <x:c r="L39" s="16" t="n">
        <x:f>H39-SUM(I39:K39)</x:f>
        <x:v>6029.792406</x:v>
      </x:c>
      <x:c r="M39" s="16" t="n">
        <x:f>E39*(1+Assumptions!$B$10)</x:f>
        <x:v>3199.6899000000003</x:v>
      </x:c>
      <x:c r="N39" s="16" t="n">
        <x:f>H39*Assumptions!$B$6</x:f>
        <x:v>348.902235</x:v>
      </x:c>
      <x:c r="O39" s="16" t="n">
        <x:f>L39-SUM(M39:N39)</x:f>
        <x:v>2481.2002709999992</x:v>
      </x:c>
    </x:row>
    <x:row r="40">
      <x:c r="A40" t="str">
        <x:v>2025-10</x:v>
      </x:c>
      <x:c r="B40" t="str">
        <x:v>Gifts</x:v>
      </x:c>
      <x:c r="C40" s="16" t="n">
        <x:v>7409.41</x:v>
      </x:c>
      <x:c r="D40" s="16" t="n">
        <x:v>834.63</x:v>
      </x:c>
      <x:c r="E40" s="16" t="n">
        <x:v>3206.38</x:v>
      </x:c>
      <x:c r="F40" s="16" t="n">
        <x:v>429</x:v>
      </x:c>
      <x:c r="G40" s="16" t="n">
        <x:f>C40*(1+Assumptions!$B$7)</x:f>
        <x:v>7705.7864</x:v>
      </x:c>
      <x:c r="H40" s="16" t="n">
        <x:f>C40*(1+Assumptions!$B$10)</x:f>
        <x:v>7335.3159</x:v>
      </x:c>
      <x:c r="I40" s="16" t="n">
        <x:f>D40*(1+Assumptions!$B$10)+H40*Assumptions!$B$9</x:f>
        <x:v>606.2242229999999</x:v>
      </x:c>
      <x:c r="J40" s="16" t="n">
        <x:f>H40*Assumptions!$B$4</x:f>
        <x:v>146.70631799999998</x:v>
      </x:c>
      <x:c r="K40" s="16" t="n">
        <x:f>H40*Assumptions!$B$5</x:f>
        <x:v>220.059477</x:v>
      </x:c>
      <x:c r="L40" s="16" t="n">
        <x:f>H40-SUM(I40:K40)</x:f>
        <x:v>6362.325881999999</x:v>
      </x:c>
      <x:c r="M40" s="16" t="n">
        <x:f>E40*(1+Assumptions!$B$10)</x:f>
        <x:v>3174.3162</x:v>
      </x:c>
      <x:c r="N40" s="16" t="n">
        <x:f>H40*Assumptions!$B$6</x:f>
        <x:v>366.765795</x:v>
      </x:c>
      <x:c r="O40" s="16" t="n">
        <x:f>L40-SUM(M40:N40)</x:f>
        <x:v>2821.2438869999987</x:v>
      </x:c>
    </x:row>
    <x:row r="41">
      <x:c r="A41" t="str">
        <x:v>2025-10</x:v>
      </x:c>
      <x:c r="B41" t="str">
        <x:v>Home</x:v>
      </x:c>
      <x:c r="C41" s="16" t="n">
        <x:v>8250.4</x:v>
      </x:c>
      <x:c r="D41" s="16" t="n">
        <x:v>753.1</x:v>
      </x:c>
      <x:c r="E41" s="16" t="n">
        <x:v>4193.07</x:v>
      </x:c>
      <x:c r="F41" s="16" t="n">
        <x:v>352</x:v>
      </x:c>
      <x:c r="G41" s="16" t="n">
        <x:f>C41*(1+Assumptions!$B$7)</x:f>
        <x:v>8580.416</x:v>
      </x:c>
      <x:c r="H41" s="16" t="n">
        <x:f>C41*(1+Assumptions!$B$10)</x:f>
        <x:v>8167.896</x:v>
      </x:c>
      <x:c r="I41" s="16" t="n">
        <x:f>D41*(1+Assumptions!$B$10)+H41*Assumptions!$B$9</x:f>
        <x:v>500.53211999999996</x:v>
      </x:c>
      <x:c r="J41" s="16" t="n">
        <x:f>H41*Assumptions!$B$4</x:f>
        <x:v>163.35792</x:v>
      </x:c>
      <x:c r="K41" s="16" t="n">
        <x:f>H41*Assumptions!$B$5</x:f>
        <x:v>245.03688</x:v>
      </x:c>
      <x:c r="L41" s="16" t="n">
        <x:f>H41-SUM(I41:K41)</x:f>
        <x:v>7258.96908</x:v>
      </x:c>
      <x:c r="M41" s="16" t="n">
        <x:f>E41*(1+Assumptions!$B$10)</x:f>
        <x:v>4151.1393</x:v>
      </x:c>
      <x:c r="N41" s="16" t="n">
        <x:f>H41*Assumptions!$B$6</x:f>
        <x:v>408.39480000000003</x:v>
      </x:c>
      <x:c r="O41" s="16" t="n">
        <x:f>L41-SUM(M41:N41)</x:f>
        <x:v>2699.43498</x:v>
      </x:c>
    </x:row>
    <x:row r="42">
      <x:c r="A42" t="str">
        <x:v>2025-10</x:v>
      </x:c>
      <x:c r="B42" t="str">
        <x:v>Kitchen</x:v>
      </x:c>
      <x:c r="C42" s="16" t="n">
        <x:v>11248.9</x:v>
      </x:c>
      <x:c r="D42" s="16" t="n">
        <x:v>1392.22</x:v>
      </x:c>
      <x:c r="E42" s="16" t="n">
        <x:v>6452.02</x:v>
      </x:c>
      <x:c r="F42" s="16" t="n">
        <x:v>347</x:v>
      </x:c>
      <x:c r="G42" s="16" t="n">
        <x:f>C42*(1+Assumptions!$B$7)</x:f>
        <x:v>11698.856</x:v>
      </x:c>
      <x:c r="H42" s="16" t="n">
        <x:f>C42*(1+Assumptions!$B$10)</x:f>
        <x:v>11136.411</x:v>
      </x:c>
      <x:c r="I42" s="16" t="n">
        <x:f>D42*(1+Assumptions!$B$10)+H42*Assumptions!$B$9</x:f>
        <x:v>1044.20547</x:v>
      </x:c>
      <x:c r="J42" s="16" t="n">
        <x:f>H42*Assumptions!$B$4</x:f>
        <x:v>222.72822</x:v>
      </x:c>
      <x:c r="K42" s="16" t="n">
        <x:f>H42*Assumptions!$B$5</x:f>
        <x:v>334.09233</x:v>
      </x:c>
      <x:c r="L42" s="16" t="n">
        <x:f>H42-SUM(I42:K42)</x:f>
        <x:v>9535.38498</x:v>
      </x:c>
      <x:c r="M42" s="16" t="n">
        <x:f>E42*(1+Assumptions!$B$10)</x:f>
        <x:v>6387.4998000000005</x:v>
      </x:c>
      <x:c r="N42" s="16" t="n">
        <x:f>H42*Assumptions!$B$6</x:f>
        <x:v>556.82055</x:v>
      </x:c>
      <x:c r="O42" s="16" t="n">
        <x:f>L42-SUM(M42:N42)</x:f>
        <x:v>2591.06463</x:v>
      </x:c>
    </x:row>
    <x:row r="43">
      <x:c r="A43" t="str">
        <x:v>2025-10</x:v>
      </x:c>
      <x:c r="B43" t="str">
        <x:v>Seasonal</x:v>
      </x:c>
      <x:c r="C43" s="16" t="n">
        <x:v>6769.57</x:v>
      </x:c>
      <x:c r="D43" s="16" t="n">
        <x:v>717.52</x:v>
      </x:c>
      <x:c r="E43" s="16" t="n">
        <x:v>3103.87</x:v>
      </x:c>
      <x:c r="F43" s="16" t="n">
        <x:v>456</x:v>
      </x:c>
      <x:c r="G43" s="16" t="n">
        <x:f>C43*(1+Assumptions!$B$7)</x:f>
        <x:v>7040.3528</x:v>
      </x:c>
      <x:c r="H43" s="16" t="n">
        <x:f>C43*(1+Assumptions!$B$10)</x:f>
        <x:v>6701.8742999999995</x:v>
      </x:c>
      <x:c r="I43" s="16" t="n">
        <x:f>D43*(1+Assumptions!$B$10)+H43*Assumptions!$B$9</x:f>
        <x:v>509.288571</x:v>
      </x:c>
      <x:c r="J43" s="16" t="n">
        <x:f>H43*Assumptions!$B$4</x:f>
        <x:v>134.037486</x:v>
      </x:c>
      <x:c r="K43" s="16" t="n">
        <x:f>H43*Assumptions!$B$5</x:f>
        <x:v>201.05622899999997</x:v>
      </x:c>
      <x:c r="L43" s="16" t="n">
        <x:f>H43-SUM(I43:K43)</x:f>
        <x:v>5857.4920139999995</x:v>
      </x:c>
      <x:c r="M43" s="16" t="n">
        <x:f>E43*(1+Assumptions!$B$10)</x:f>
        <x:v>3072.8313</x:v>
      </x:c>
      <x:c r="N43" s="16" t="n">
        <x:f>H43*Assumptions!$B$6</x:f>
        <x:v>335.093715</x:v>
      </x:c>
      <x:c r="O43" s="16" t="n">
        <x:f>L43-SUM(M43:N43)</x:f>
        <x:v>2449.5669989999997</x:v>
      </x:c>
    </x:row>
    <x:row r="44">
      <x:c r="A44" t="str">
        <x:v>2025-11</x:v>
      </x:c>
      <x:c r="B44" t="str">
        <x:v>Gifts</x:v>
      </x:c>
      <x:c r="C44" s="16" t="n">
        <x:v>7819.32</x:v>
      </x:c>
      <x:c r="D44" s="16" t="n">
        <x:v>930.73</x:v>
      </x:c>
      <x:c r="E44" s="16" t="n">
        <x:v>3355.61</x:v>
      </x:c>
      <x:c r="F44" s="16" t="n">
        <x:v>428</x:v>
      </x:c>
      <x:c r="G44" s="16" t="n">
        <x:f>C44*(1+Assumptions!$B$7)</x:f>
        <x:v>8132.0928</x:v>
      </x:c>
      <x:c r="H44" s="16" t="n">
        <x:f>C44*(1+Assumptions!$B$10)</x:f>
        <x:v>7741.1268</x:v>
      </x:c>
      <x:c r="I44" s="16" t="n">
        <x:f>D44*(1+Assumptions!$B$10)+H44*Assumptions!$B$9</x:f>
        <x:v>689.188896</x:v>
      </x:c>
      <x:c r="J44" s="16" t="n">
        <x:f>H44*Assumptions!$B$4</x:f>
        <x:v>154.822536</x:v>
      </x:c>
      <x:c r="K44" s="16" t="n">
        <x:f>H44*Assumptions!$B$5</x:f>
        <x:v>232.233804</x:v>
      </x:c>
      <x:c r="L44" s="16" t="n">
        <x:f>H44-SUM(I44:K44)</x:f>
        <x:v>6664.881564</x:v>
      </x:c>
      <x:c r="M44" s="16" t="n">
        <x:f>E44*(1+Assumptions!$B$10)</x:f>
        <x:v>3322.0539</x:v>
      </x:c>
      <x:c r="N44" s="16" t="n">
        <x:f>H44*Assumptions!$B$6</x:f>
        <x:v>387.05634000000003</x:v>
      </x:c>
      <x:c r="O44" s="16" t="n">
        <x:f>L44-SUM(M44:N44)</x:f>
        <x:v>2955.7713240000003</x:v>
      </x:c>
    </x:row>
    <x:row r="45">
      <x:c r="A45" t="str">
        <x:v>2025-11</x:v>
      </x:c>
      <x:c r="B45" t="str">
        <x:v>Home</x:v>
      </x:c>
      <x:c r="C45" s="16" t="n">
        <x:v>12706.01</x:v>
      </x:c>
      <x:c r="D45" s="16" t="n">
        <x:v>1328.35</x:v>
      </x:c>
      <x:c r="E45" s="16" t="n">
        <x:v>6490.31</x:v>
      </x:c>
      <x:c r="F45" s="16" t="n">
        <x:v>537</x:v>
      </x:c>
      <x:c r="G45" s="16" t="n">
        <x:f>C45*(1+Assumptions!$B$7)</x:f>
        <x:v>13214.2504</x:v>
      </x:c>
      <x:c r="H45" s="16" t="n">
        <x:f>C45*(1+Assumptions!$B$10)</x:f>
        <x:v>12578.9499</x:v>
      </x:c>
      <x:c r="I45" s="16" t="n">
        <x:f>D45*(1+Assumptions!$B$10)+H45*Assumptions!$B$9</x:f>
        <x:v>937.698003</x:v>
      </x:c>
      <x:c r="J45" s="16" t="n">
        <x:f>H45*Assumptions!$B$4</x:f>
        <x:v>251.57899799999998</x:v>
      </x:c>
      <x:c r="K45" s="16" t="n">
        <x:f>H45*Assumptions!$B$5</x:f>
        <x:v>377.368497</x:v>
      </x:c>
      <x:c r="L45" s="16" t="n">
        <x:f>H45-SUM(I45:K45)</x:f>
        <x:v>11012.304402</x:v>
      </x:c>
      <x:c r="M45" s="16" t="n">
        <x:f>E45*(1+Assumptions!$B$10)</x:f>
        <x:v>6425.4069</x:v>
      </x:c>
      <x:c r="N45" s="16" t="n">
        <x:f>H45*Assumptions!$B$6</x:f>
        <x:v>628.947495</x:v>
      </x:c>
      <x:c r="O45" s="16" t="n">
        <x:f>L45-SUM(M45:N45)</x:f>
        <x:v>3957.9500069999995</x:v>
      </x:c>
    </x:row>
    <x:row r="46">
      <x:c r="A46" t="str">
        <x:v>2025-11</x:v>
      </x:c>
      <x:c r="B46" t="str">
        <x:v>Kitchen</x:v>
      </x:c>
      <x:c r="C46" s="16" t="n">
        <x:v>19533.61</x:v>
      </x:c>
      <x:c r="D46" s="16" t="n">
        <x:v>2175.5</x:v>
      </x:c>
      <x:c r="E46" s="16" t="n">
        <x:v>11157.71</x:v>
      </x:c>
      <x:c r="F46" s="16" t="n">
        <x:v>599</x:v>
      </x:c>
      <x:c r="G46" s="16" t="n">
        <x:f>C46*(1+Assumptions!$B$7)</x:f>
        <x:v>20314.954400000002</x:v>
      </x:c>
      <x:c r="H46" s="16" t="n">
        <x:f>C46*(1+Assumptions!$B$10)</x:f>
        <x:v>19338.2739</x:v>
      </x:c>
      <x:c r="I46" s="16" t="n">
        <x:f>D46*(1+Assumptions!$B$10)+H46*Assumptions!$B$9</x:f>
        <x:v>1573.596783</x:v>
      </x:c>
      <x:c r="J46" s="16" t="n">
        <x:f>H46*Assumptions!$B$4</x:f>
        <x:v>386.76547800000003</x:v>
      </x:c>
      <x:c r="K46" s="16" t="n">
        <x:f>H46*Assumptions!$B$5</x:f>
        <x:v>580.1482169999999</x:v>
      </x:c>
      <x:c r="L46" s="16" t="n">
        <x:f>H46-SUM(I46:K46)</x:f>
        <x:v>16797.763422</x:v>
      </x:c>
      <x:c r="M46" s="16" t="n">
        <x:f>E46*(1+Assumptions!$B$10)</x:f>
        <x:v>11046.132899999999</x:v>
      </x:c>
      <x:c r="N46" s="16" t="n">
        <x:f>H46*Assumptions!$B$6</x:f>
        <x:v>966.9136950000001</x:v>
      </x:c>
      <x:c r="O46" s="16" t="n">
        <x:f>L46-SUM(M46:N46)</x:f>
        <x:v>4784.716827000002</x:v>
      </x:c>
    </x:row>
    <x:row r="47">
      <x:c r="A47" t="str">
        <x:v>2025-11</x:v>
      </x:c>
      <x:c r="B47" t="str">
        <x:v>Seasonal</x:v>
      </x:c>
      <x:c r="C47" s="16" t="n">
        <x:v>6958.48</x:v>
      </x:c>
      <x:c r="D47" s="16" t="n">
        <x:v>649.29</x:v>
      </x:c>
      <x:c r="E47" s="16" t="n">
        <x:v>3204.09</x:v>
      </x:c>
      <x:c r="F47" s="16" t="n">
        <x:v>476</x:v>
      </x:c>
      <x:c r="G47" s="16" t="n">
        <x:f>C47*(1+Assumptions!$B$7)</x:f>
        <x:v>7236.8192</x:v>
      </x:c>
      <x:c r="H47" s="16" t="n">
        <x:f>C47*(1+Assumptions!$B$10)</x:f>
        <x:v>6888.8952</x:v>
      </x:c>
      <x:c r="I47" s="16" t="n">
        <x:f>D47*(1+Assumptions!$B$10)+H47*Assumptions!$B$9</x:f>
        <x:v>436.130244</x:v>
      </x:c>
      <x:c r="J47" s="16" t="n">
        <x:f>H47*Assumptions!$B$4</x:f>
        <x:v>137.777904</x:v>
      </x:c>
      <x:c r="K47" s="16" t="n">
        <x:f>H47*Assumptions!$B$5</x:f>
        <x:v>206.666856</x:v>
      </x:c>
      <x:c r="L47" s="16" t="n">
        <x:f>H47-SUM(I47:K47)</x:f>
        <x:v>6108.320196</x:v>
      </x:c>
      <x:c r="M47" s="16" t="n">
        <x:f>E47*(1+Assumptions!$B$10)</x:f>
        <x:v>3172.0491</x:v>
      </x:c>
      <x:c r="N47" s="16" t="n">
        <x:f>H47*Assumptions!$B$6</x:f>
        <x:v>344.44476000000003</x:v>
      </x:c>
      <x:c r="O47" s="16" t="n">
        <x:f>L47-SUM(M47:N47)</x:f>
        <x:v>2591.8263359999996</x:v>
      </x:c>
    </x:row>
    <x:row r="48">
      <x:c r="A48" t="str">
        <x:v>2025-12</x:v>
      </x:c>
      <x:c r="B48" t="str">
        <x:v>Gifts</x:v>
      </x:c>
      <x:c r="C48" s="16" t="n">
        <x:v>10004.61</x:v>
      </x:c>
      <x:c r="D48" s="16" t="n">
        <x:v>1001.47</x:v>
      </x:c>
      <x:c r="E48" s="16" t="n">
        <x:v>4295.27</x:v>
      </x:c>
      <x:c r="F48" s="16" t="n">
        <x:v>561</x:v>
      </x:c>
      <x:c r="G48" s="16" t="n">
        <x:f>C48*(1+Assumptions!$B$7)</x:f>
        <x:v>10404.7944</x:v>
      </x:c>
      <x:c r="H48" s="16" t="n">
        <x:f>C48*(1+Assumptions!$B$10)</x:f>
        <x:v>9904.563900000001</x:v>
      </x:c>
      <x:c r="I48" s="16" t="n">
        <x:f>D48*(1+Assumptions!$B$10)+H48*Assumptions!$B$9</x:f>
        <x:v>694.3183829999999</x:v>
      </x:c>
      <x:c r="J48" s="16" t="n">
        <x:f>H48*Assumptions!$B$4</x:f>
        <x:v>198.09127800000002</x:v>
      </x:c>
      <x:c r="K48" s="16" t="n">
        <x:f>H48*Assumptions!$B$5</x:f>
        <x:v>297.13691700000004</x:v>
      </x:c>
      <x:c r="L48" s="16" t="n">
        <x:f>H48-SUM(I48:K48)</x:f>
        <x:v>8715.017322000002</x:v>
      </x:c>
      <x:c r="M48" s="16" t="n">
        <x:f>E48*(1+Assumptions!$B$10)</x:f>
        <x:v>4252.317300000001</x:v>
      </x:c>
      <x:c r="N48" s="16" t="n">
        <x:f>H48*Assumptions!$B$6</x:f>
        <x:v>495.2281950000001</x:v>
      </x:c>
      <x:c r="O48" s="16" t="n">
        <x:f>L48-SUM(M48:N48)</x:f>
        <x:v>3967.471827000001</x:v>
      </x:c>
    </x:row>
    <x:row r="49">
      <x:c r="A49" t="str">
        <x:v>2025-12</x:v>
      </x:c>
      <x:c r="B49" t="str">
        <x:v>Home</x:v>
      </x:c>
      <x:c r="C49" s="16" t="n">
        <x:v>10921.82</x:v>
      </x:c>
      <x:c r="D49" s="16" t="n">
        <x:v>1242.29</x:v>
      </x:c>
      <x:c r="E49" s="16" t="n">
        <x:v>5552.98</x:v>
      </x:c>
      <x:c r="F49" s="16" t="n">
        <x:v>475</x:v>
      </x:c>
      <x:c r="G49" s="16" t="n">
        <x:f>C49*(1+Assumptions!$B$7)</x:f>
        <x:v>11358.6928</x:v>
      </x:c>
      <x:c r="H49" s="16" t="n">
        <x:f>C49*(1+Assumptions!$B$10)</x:f>
        <x:v>10812.6018</x:v>
      </x:c>
      <x:c r="I49" s="16" t="n">
        <x:f>D49*(1+Assumptions!$B$10)+H49*Assumptions!$B$9</x:f>
        <x:v>905.4890459999999</x:v>
      </x:c>
      <x:c r="J49" s="16" t="n">
        <x:f>H49*Assumptions!$B$4</x:f>
        <x:v>216.252036</x:v>
      </x:c>
      <x:c r="K49" s="16" t="n">
        <x:f>H49*Assumptions!$B$5</x:f>
        <x:v>324.378054</x:v>
      </x:c>
      <x:c r="L49" s="16" t="n">
        <x:f>H49-SUM(I49:K49)</x:f>
        <x:v>9366.482664000001</x:v>
      </x:c>
      <x:c r="M49" s="16" t="n">
        <x:f>E49*(1+Assumptions!$B$10)</x:f>
        <x:v>5497.450199999999</x:v>
      </x:c>
      <x:c r="N49" s="16" t="n">
        <x:f>H49*Assumptions!$B$6</x:f>
        <x:v>540.63009</x:v>
      </x:c>
      <x:c r="O49" s="16" t="n">
        <x:f>L49-SUM(M49:N49)</x:f>
        <x:v>3328.402374000002</x:v>
      </x:c>
    </x:row>
    <x:row r="50">
      <x:c r="A50" t="str">
        <x:v>2025-12</x:v>
      </x:c>
      <x:c r="B50" t="str">
        <x:v>Kitchen</x:v>
      </x:c>
      <x:c r="C50" s="16" t="n">
        <x:v>13301.91</x:v>
      </x:c>
      <x:c r="D50" s="16" t="n">
        <x:v>1391.84</x:v>
      </x:c>
      <x:c r="E50" s="16" t="n">
        <x:v>7593.81</x:v>
      </x:c>
      <x:c r="F50" s="16" t="n">
        <x:v>445</x:v>
      </x:c>
      <x:c r="G50" s="16" t="n">
        <x:f>C50*(1+Assumptions!$B$7)</x:f>
        <x:v>13833.9864</x:v>
      </x:c>
      <x:c r="H50" s="16" t="n">
        <x:f>C50*(1+Assumptions!$B$10)</x:f>
        <x:v>13168.8909</x:v>
      </x:c>
      <x:c r="I50" s="16" t="n">
        <x:f>D50*(1+Assumptions!$B$10)+H50*Assumptions!$B$9</x:f>
        <x:v>982.8548729999999</x:v>
      </x:c>
      <x:c r="J50" s="16" t="n">
        <x:f>H50*Assumptions!$B$4</x:f>
        <x:v>263.377818</x:v>
      </x:c>
      <x:c r="K50" s="16" t="n">
        <x:f>H50*Assumptions!$B$5</x:f>
        <x:v>395.066727</x:v>
      </x:c>
      <x:c r="L50" s="16" t="n">
        <x:f>H50-SUM(I50:K50)</x:f>
        <x:v>11527.591482</x:v>
      </x:c>
      <x:c r="M50" s="16" t="n">
        <x:f>E50*(1+Assumptions!$B$10)</x:f>
        <x:v>7517.8719</x:v>
      </x:c>
      <x:c r="N50" s="16" t="n">
        <x:f>H50*Assumptions!$B$6</x:f>
        <x:v>658.4445450000001</x:v>
      </x:c>
      <x:c r="O50" s="16" t="n">
        <x:f>L50-SUM(M50:N50)</x:f>
        <x:v>3351.2750369999994</x:v>
      </x:c>
    </x:row>
    <x:row r="51">
      <x:c r="A51" t="str">
        <x:v>2025-12</x:v>
      </x:c>
      <x:c r="B51" t="str">
        <x:v>Seasonal</x:v>
      </x:c>
      <x:c r="C51" s="16" t="n">
        <x:v>7574.49</x:v>
      </x:c>
      <x:c r="D51" s="16" t="n">
        <x:v>787.86</x:v>
      </x:c>
      <x:c r="E51" s="16" t="n">
        <x:v>3487.43</x:v>
      </x:c>
      <x:c r="F51" s="16" t="n">
        <x:v>523</x:v>
      </x:c>
      <x:c r="G51" s="16" t="n">
        <x:f>C51*(1+Assumptions!$B$7)</x:f>
        <x:v>7877.4696</x:v>
      </x:c>
      <x:c r="H51" s="16" t="n">
        <x:f>C51*(1+Assumptions!$B$10)</x:f>
        <x:v>7498.7451</x:v>
      </x:c>
      <x:c r="I51" s="16" t="n">
        <x:f>D51*(1+Assumptions!$B$10)+H51*Assumptions!$B$9</x:f>
        <x:v>555.019047</x:v>
      </x:c>
      <x:c r="J51" s="16" t="n">
        <x:f>H51*Assumptions!$B$4</x:f>
        <x:v>149.97490200000001</x:v>
      </x:c>
      <x:c r="K51" s="16" t="n">
        <x:f>H51*Assumptions!$B$5</x:f>
        <x:v>224.962353</x:v>
      </x:c>
      <x:c r="L51" s="16" t="n">
        <x:f>H51-SUM(I51:K51)</x:f>
        <x:v>6568.788798</x:v>
      </x:c>
      <x:c r="M51" s="16" t="n">
        <x:f>E51*(1+Assumptions!$B$10)</x:f>
        <x:v>3452.5557</x:v>
      </x:c>
      <x:c r="N51" s="16" t="n">
        <x:f>H51*Assumptions!$B$6</x:f>
        <x:v>374.93725500000005</x:v>
      </x:c>
      <x:c r="O51" s="16" t="n">
        <x:f>L51-SUM(M51:N51)</x:f>
        <x:v>2741.295843</x:v>
      </x:c>
    </x:row>
    <x:row r="52">
      <x:c r="A52" s="20" t="str">
        <x:v>TOTAL</x:v>
      </x:c>
      <x:c r="B52" s="20" t="str">
        <x:v>All categories</x:v>
      </x:c>
      <x:c r="C52" s="21" t="n">
        <x:f>SUM(C4:C51)</x:f>
        <x:v>527908.96</x:v>
      </x:c>
      <x:c r="D52" s="21" t="n">
        <x:f>SUM(D4:D51)</x:f>
        <x:v>57796</x:v>
      </x:c>
      <x:c r="E52" s="21" t="n">
        <x:f>SUM(E4:E51)</x:f>
        <x:v>268418.83999999997</x:v>
      </x:c>
      <x:c r="F52" s="21" t="n">
        <x:f>SUM(F4:F51)</x:f>
        <x:v>23732</x:v>
      </x:c>
      <x:c r="G52" s="21" t="n">
        <x:f>SUM(G4:G51)</x:f>
        <x:v>549025.3183999999</x:v>
      </x:c>
      <x:c r="H52" s="21" t="n">
        <x:f>SUM(H4:H51)</x:f>
        <x:v>522629.8704000001</x:v>
      </x:c>
      <x:c r="I52" s="21" t="n">
        <x:f>SUM(I4:I51)</x:f>
        <x:v>41539.143888</x:v>
      </x:c>
      <x:c r="J52" s="21" t="n">
        <x:f>SUM(J4:J51)</x:f>
        <x:v>10452.597408000003</x:v>
      </x:c>
      <x:c r="K52" s="21" t="n">
        <x:f>SUM(K4:K51)</x:f>
        <x:v>15678.896111999999</x:v>
      </x:c>
      <x:c r="L52" s="21" t="n">
        <x:f>SUM(L4:L51)</x:f>
        <x:v>454959.232992</x:v>
      </x:c>
      <x:c r="M52" s="21" t="n">
        <x:f>SUM(M4:M51)</x:f>
        <x:v>265734.65160000004</x:v>
      </x:c>
      <x:c r="N52" s="21" t="n">
        <x:f>SUM(N4:N51)</x:f>
        <x:v>26131.493519999996</x:v>
      </x:c>
      <x:c r="O52" s="21" t="n">
        <x:f>SUM(O4:O51)</x:f>
        <x:v>163093.087872</x:v>
      </x:c>
    </x:row>
  </x:sheetData>
  <x:mergeCells>
    <x:mergeCell ref="A1:O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53" hidden="0" customWidth="1"/>
  </x:cols>
  <x:sheetData>
    <x:row r="1" ht="30" customHeight="1">
      <x:c r="A1" s="3" t="str">
        <x:v>SCENARIOS  |  ALL UPLIFTS ARE ASSUMPTIONS</x:v>
      </x:c>
      <x:c r="B1" s="3"/>
      <x:c r="C1" s="3"/>
      <x:c r="D1" s="3"/>
    </x:row>
    <x:row r="4" ht="24" customHeight="1">
      <x:c r="A4" s="13" t="str">
        <x:v>Scenario</x:v>
      </x:c>
      <x:c r="B4" s="13" t="str">
        <x:v>Incremental discount</x:v>
      </x:c>
      <x:c r="C4" s="13" t="str">
        <x:v>Expected volume change</x:v>
      </x:c>
      <x:c r="D4" s="13" t="str">
        <x:v>Interpretation</x:v>
      </x:c>
    </x:row>
    <x:row r="5">
      <x:c r="A5" t="str">
        <x:v>Protect margin</x:v>
      </x:c>
      <x:c r="B5" s="10" t="n">
        <x:v>-0.03</x:v>
      </x:c>
      <x:c r="C5" s="10" t="n">
        <x:v>-0.01</x:v>
      </x:c>
      <x:c r="D5" t="str">
        <x:v>Lower discounts; small volume decline assumed</x:v>
      </x:c>
    </x:row>
    <x:row r="6">
      <x:c r="A6" t="str">
        <x:v>Maintain baseline</x:v>
      </x:c>
      <x:c r="B6" s="10" t="n">
        <x:v>0</x:v>
      </x:c>
      <x:c r="C6" s="10" t="n">
        <x:v>0</x:v>
      </x:c>
      <x:c r="D6" t="str">
        <x:v>No adjustment</x:v>
      </x:c>
    </x:row>
    <x:row r="7">
      <x:c r="A7" t="str">
        <x:v>Growth campaign</x:v>
      </x:c>
      <x:c r="B7" s="10" t="n">
        <x:v>0.03</x:v>
      </x:c>
      <x:c r="C7" s="10" t="n">
        <x:v>0.12</x:v>
      </x:c>
      <x:c r="D7" t="str">
        <x:v>Higher discount and assumed volume uplift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04" hidden="0" customWidth="1"/>
  </x:cols>
  <x:sheetData>
    <x:row r="1" ht="30" customHeight="1">
      <x:c r="A1" s="3" t="str">
        <x:v>ABOUT THIS PROJECT</x:v>
      </x:c>
      <x:c r="B1" s="3"/>
      <x:c r="C1" s="3"/>
      <x:c r="D1" s="3"/>
      <x:c r="E1" s="3"/>
      <x:c r="F1" s="3"/>
    </x:row>
    <x:row r="3">
      <x:c r="A3" s="32" t="str">
        <x:v>Purpose</x:v>
      </x:c>
      <x:c r="B3" s="30" t="str">
        <x:v>Evaluate gross-to-net revenue and modeled promotional investment decisions.</x:v>
      </x:c>
    </x:row>
    <x:row r="4">
      <x:c r="A4" s="32" t="str">
        <x:v>Data</x:v>
      </x:c>
      <x:c r="B4" s="30" t="str">
        <x:v>3600 reproducible SYNTHETIC transactions. Not UCI data; no actual promotion history.</x:v>
      </x:c>
    </x:row>
    <x:row r="5">
      <x:c r="A5" s="32" t="str">
        <x:v>Real public source to import</x:v>
      </x:c>
      <x:c r="B5" s="30" t="str">
        <x:v>https://archive.ics.uci.edu/dataset/352/online+retail</x:v>
      </x:c>
    </x:row>
    <x:row r="6">
      <x:c r="A6" s="32" t="str">
        <x:v>Source citation</x:v>
      </x:c>
      <x:c r="B6" s="30" t="str">
        <x:v>Chen (2015), UCI Online Retail, DOI:10.24432/C5BW33, CC BY 4.0</x:v>
      </x:c>
    </x:row>
    <x:row r="7">
      <x:c r="A7" s="32" t="str">
        <x:v>Original source limitations</x:v>
      </x:c>
      <x:c r="B7" s="30" t="str">
        <x:v>UCI has invoices, quantities, unit prices, cancellations; NO promotion, trade spend, COGS or plan.</x:v>
      </x:c>
    </x:row>
    <x:row r="8">
      <x:c r="A8" s="32" t="str">
        <x:v>Assumptions</x:v>
      </x:c>
      <x:c r="B8" s="30" t="str">
        <x:v>Discount and COGS in demo are synthetic. Returns, trade spend, selling %, planned growth and scenario elasticity are assumptions.</x:v>
      </x:c>
    </x:row>
    <x:row r="9">
      <x:c r="A9" s="32" t="str">
        <x:v>Model mechanics</x:v>
      </x:c>
      <x:c r="B9" s="30" t="str">
        <x:v>Gross sales - discounts - returns - trade spend = net sales; net sales - COGS - variable selling = contribution profit.</x:v>
      </x:c>
    </x:row>
    <x:row r="10">
      <x:c r="A10" s="32" t="str">
        <x:v>Modeled plan</x:v>
      </x:c>
      <x:c r="B10" s="30" t="str">
        <x:v>Plan gross is a target assumption, NOT a real employer budget.</x:v>
      </x:c>
    </x:row>
    <x:row r="11">
      <x:c r="A11" s="32" t="str">
        <x:v>Change scenario</x:v>
      </x:c>
      <x:c r="B11" s="30" t="str">
        <x:v>Assumptions!B8: 1=Protect margin, 2=Base, 3=Growth.</x:v>
      </x:c>
    </x:row>
    <x:row r="12">
      <x:c r="A12" s="32" t="str">
        <x:v>Important</x:v>
      </x:c>
      <x:c r="B12" s="30" t="str">
        <x:v>Do NOT present synthetic financial results as real retail performance or completed Power BI implementation.</x:v>
      </x:c>
    </x:row>
    <x:row r="13">
      <x:c r="A13" s="32" t="str">
        <x:v>Power BI</x:v>
      </x:c>
      <x:c r="B13" s="30" t="str">
        <x:v>Monthly_Model exports from XLSX and demo_transactions.csv can be imported; build visual report in Power BI Desktop.</x:v>
      </x:c>
    </x:row>
    <x:row r="14">
      <x:c r="A14" s="32" t="str">
        <x:v>Suggested portfolio next step</x:v>
      </x:c>
      <x:c r="B14" s="30" t="str">
        <x:v>Download UCI data, replace synthetic rows in Power Query, document assumptions, rebuild dashboard.</x:v>
      </x:c>
    </x:row>
  </x:sheetData>
  <x:mergeCells>
    <x:mergeCell ref="A1:F1"/>
  </x:mergeCells>
  <x:pageMargins left="0.7" right="0.7" top="0.75" bottom="0.75" header="0.3" footer="0.3"/>
</x:worksheet>
</file>