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b596d4b36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5ccb8c3cc6a462d"/>
    <x:sheet xmlns:r="http://schemas.openxmlformats.org/officeDocument/2006/relationships" name="Assumptions" sheetId="2" r:id="R729c63d300624a97"/>
    <x:sheet xmlns:r="http://schemas.openxmlformats.org/officeDocument/2006/relationships" name="Variance Bridge" sheetId="3" r:id="R43b61e1684ff4512"/>
    <x:sheet xmlns:r="http://schemas.openxmlformats.org/officeDocument/2006/relationships" name="Scenario Model" sheetId="4" r:id="R865b73bae7db43c4"/>
    <x:sheet xmlns:r="http://schemas.openxmlformats.org/officeDocument/2006/relationships" name="Monthly Financials" sheetId="5" r:id="R690c8d4f57c04dde"/>
    <x:sheet xmlns:r="http://schemas.openxmlformats.org/officeDocument/2006/relationships" name="Data Dictionary" sheetId="6" r:id="R621ca0e0590e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"/>
    <x:numFmt numFmtId="202" formatCode="£#,##0;[Red](£#,##0)"/>
    <x:numFmt numFmtId="203" formatCode="£#,##0"/>
    <x:numFmt numFmtId="204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6"/>
      </x:patternFill>
    </x:fill>
    <x:fill>
      <x:patternFill patternType="solid">
        <x:fgColor rgb="FF0B776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aab041fbb4b9b" /><Relationship Type="http://schemas.openxmlformats.org/officeDocument/2006/relationships/theme" Target="/xl/theme/theme1.xml" Id="Ra5b53f53c3284b3f" /><Relationship Type="http://schemas.openxmlformats.org/officeDocument/2006/relationships/sharedStrings" Target="/xl/sharedStrings.xml" Id="Raf764cb292a6471b" /><Relationship Type="http://schemas.openxmlformats.org/officeDocument/2006/relationships/worksheet" Target="/xl/worksheets/sheet1.xml" Id="R65ccb8c3cc6a462d" /><Relationship Type="http://schemas.openxmlformats.org/officeDocument/2006/relationships/worksheet" Target="/xl/worksheets/sheet2.xml" Id="R729c63d300624a97" /><Relationship Type="http://schemas.openxmlformats.org/officeDocument/2006/relationships/worksheet" Target="/xl/worksheets/sheet3.xml" Id="R43b61e1684ff4512" /><Relationship Type="http://schemas.openxmlformats.org/officeDocument/2006/relationships/worksheet" Target="/xl/worksheets/sheet4.xml" Id="R865b73bae7db43c4" /><Relationship Type="http://schemas.openxmlformats.org/officeDocument/2006/relationships/worksheet" Target="/xl/worksheets/sheet5.xml" Id="R690c8d4f57c04dde" /><Relationship Type="http://schemas.openxmlformats.org/officeDocument/2006/relationships/worksheet" Target="/xl/worksheets/sheet6.xml" Id="R621ca0e0590e44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28" customHeight="1">
      <x:c r="A1" s="3" t="str">
        <x:v>COMMERCIAL FINANCE  |  GROSS-TO-NET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15" t="str">
        <x:v>Key measures</x:v>
      </x:c>
      <x:c r="B3" s="15" t="str">
        <x:v>Modeled value</x:v>
      </x:c>
    </x:row>
    <x:row r="4">
      <x:c r="A4" t="str">
        <x:v>Gross sales</x:v>
      </x:c>
      <x:c r="B4" s="20" t="n">
        <x:f>SUM('Monthly Financials'!C4:C51)</x:f>
        <x:v>1326363.38</x:v>
      </x:c>
    </x:row>
    <x:row r="5">
      <x:c r="A5" t="str">
        <x:v>Net sales</x:v>
      </x:c>
      <x:c r="B5" s="20" t="n">
        <x:f>SUM('Monthly Financials'!G4:G51)</x:f>
        <x:v>1115342.71</x:v>
      </x:c>
    </x:row>
    <x:row r="6">
      <x:c r="A6" t="str">
        <x:v>Contribution profit</x:v>
      </x:c>
      <x:c r="B6" s="20" t="n">
        <x:f>SUM('Monthly Financials'!J4:J51)</x:f>
        <x:v>374673.52</x:v>
      </x:c>
    </x:row>
    <x:row r="7">
      <x:c r="A7" t="str">
        <x:v>Contribution margin</x:v>
      </x:c>
      <x:c r="B7" s="6" t="n">
        <x:f>B6/B5</x:f>
        <x:v>0.3359268112309624</x:v>
      </x:c>
    </x:row>
    <x:row r="8">
      <x:c r="A8" t="str">
        <x:v>Plan contribution</x:v>
      </x:c>
      <x:c r="B8" s="20" t="n">
        <x:f>SUM('Monthly Financials'!R4:R51)</x:f>
        <x:v>442212.4499999999</x:v>
      </x:c>
    </x:row>
    <x:row r="9">
      <x:c r="A9" t="str">
        <x:v>Contribution variance</x:v>
      </x:c>
      <x:c r="B9" s="20" t="n">
        <x:f>B6-B8</x:f>
        <x:v>-67538.92999999988</x:v>
      </x:c>
    </x:row>
    <x:row r="10">
      <x:c r="A10" t="str">
        <x:v>Best scenario margin</x:v>
      </x:c>
      <x:c r="B10" s="6" t="n">
        <x:f>'Scenario Model'!N5</x:f>
        <x:v>0.35107001052121184</x:v>
      </x:c>
    </x:row>
    <x:row r="11">
      <x:c r="A11" t="str">
        <x:v>Margin change (pp)</x:v>
      </x:c>
      <x:c r="B11" s="22" t="n">
        <x:f>'Scenario Model'!O5</x:f>
        <x:v>1.5143188762653303</x:v>
      </x:c>
    </x:row>
    <x:row r="12">
      <x:c r="A12" t="str">
        <x:v>Selected scenario contribution</x:v>
      </x:c>
      <x:c r="B12" s="20" t="n">
        <x:f>INDEX('Scenario Model'!M4:M8,Assumptions!B11)</x:f>
        <x:v>384598.8806405998</x:v>
      </x:c>
    </x:row>
    <x:row r="13">
      <x:c r="A13" t="str">
        <x:v>Selected scenario margin</x:v>
      </x:c>
      <x:c r="B13" s="6" t="n">
        <x:f>INDEX('Scenario Model'!N4:N8,Assumptions!B11)</x:f>
        <x:v>0.35107001052121184</x:v>
      </x:c>
    </x:row>
    <x:row r="16">
      <x:c r="A16" t="str">
        <x:v>Review the Assumptions tab to change the selected promotion scenario. Detailed plan variance is in Variance Bridge.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28" customHeight="1">
      <x:c r="A1" s="3" t="str">
        <x:v>MODEL ASSUMPTIONS  |  GBP • SYNTHETIC DEMO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t="str">
        <x:v>Return rate</x:v>
      </x:c>
      <x:c r="B3" s="10" t="n">
        <x:v>0.02</x:v>
      </x:c>
    </x:row>
    <x:row r="4">
      <x:c r="A4" t="str">
        <x:v>Trade spend rate</x:v>
      </x:c>
      <x:c r="B4" s="10" t="n">
        <x:v>0.03</x:v>
      </x:c>
    </x:row>
    <x:row r="5">
      <x:c r="A5" t="str">
        <x:v>Variable selling rate</x:v>
      </x:c>
      <x:c r="B5" s="10" t="n">
        <x:v>0.05</x:v>
      </x:c>
    </x:row>
    <x:row r="6">
      <x:c r="A6" t="str">
        <x:v>Plan gross sales uplift</x:v>
      </x:c>
      <x:c r="B6" s="10" t="n">
        <x:v>0.04</x:v>
      </x:c>
    </x:row>
    <x:row r="7">
      <x:c r="A7" t="str">
        <x:v>Plan discount rate</x:v>
      </x:c>
      <x:c r="B7" s="10" t="n">
        <x:v>0.08</x:v>
      </x:c>
    </x:row>
    <x:row r="8">
      <x:c r="A8" t="str">
        <x:v>Plan return rate</x:v>
      </x:c>
      <x:c r="B8" s="10" t="n">
        <x:v>0.018</x:v>
      </x:c>
    </x:row>
    <x:row r="9">
      <x:c r="A9" t="str">
        <x:v>Plan trade spend rate</x:v>
      </x:c>
      <x:c r="B9" s="10" t="n">
        <x:v>0.028</x:v>
      </x:c>
    </x:row>
    <x:row r="10">
      <x:c r="A10" t="str">
        <x:v>Plan variable selling rate</x:v>
      </x:c>
      <x:c r="B10" s="10" t="n">
        <x:v>0.045</x:v>
      </x:c>
    </x:row>
    <x:row r="11">
      <x:c r="A11" t="str">
        <x:v>Selected scenario (1–5)</x:v>
      </x:c>
      <x:c r="B11" s="11" t="n">
        <x:v>2</x:v>
      </x:c>
    </x:row>
    <x:row r="14">
      <x:c r="A14" t="str">
        <x:v>Blue/gold cells are adjustable. All financial amounts are GBP; promotional and COGS rates are assumptions.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28" customHeight="1">
      <x:c r="A1" s="3" t="str">
        <x:v>VARIANCE BRIDGE  |  PLAN → ACTUAL CONTRIBUTION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15" t="str">
        <x:v>Driver</x:v>
      </x:c>
      <x:c r="B3" s="15" t="str">
        <x:v>GBP impact</x:v>
      </x:c>
    </x:row>
    <x:row r="4">
      <x:c r="A4" t="str">
        <x:v>Plan contribution profit</x:v>
      </x:c>
      <x:c r="B4" s="18" t="n">
        <x:f>SUM('Monthly Financials'!R4:R51)</x:f>
        <x:v>442212.4499999999</x:v>
      </x:c>
    </x:row>
    <x:row r="5">
      <x:c r="A5" t="str">
        <x:v>Gross sales volume / price</x:v>
      </x:c>
      <x:c r="B5" s="18" t="n">
        <x:f>SUM('Monthly Financials'!C4:C51)-SUM('Monthly Financials'!K4:K51)</x:f>
        <x:v>-53054.54000000027</x:v>
      </x:c>
    </x:row>
    <x:row r="6">
      <x:c r="A6" t="str">
        <x:v>Promotional discounts</x:v>
      </x:c>
      <x:c r="B6" s="18" t="n">
        <x:f>-SUM('Monthly Financials'!D4:D51)+SUM('Monthly Financials'!L4:L51)</x:f>
        <x:v>-34349.120000000024</x:v>
      </x:c>
    </x:row>
    <x:row r="7">
      <x:c r="A7" t="str">
        <x:v>Returns &amp; allowances</x:v>
      </x:c>
      <x:c r="B7" s="18" t="n">
        <x:f>-SUM('Monthly Financials'!E4:E51)+SUM('Monthly Financials'!M4:M51)</x:f>
        <x:v>-1697.7899999999972</x:v>
      </x:c>
    </x:row>
    <x:row r="8">
      <x:c r="A8" t="str">
        <x:v>Trade spend</x:v>
      </x:c>
      <x:c r="B8" s="18" t="n">
        <x:f>-SUM('Monthly Financials'!F4:F51)+SUM('Monthly Financials'!N4:N51)</x:f>
        <x:v>-1167.2200000000012</x:v>
      </x:c>
    </x:row>
    <x:row r="9">
      <x:c r="A9" t="str">
        <x:v>COGS</x:v>
      </x:c>
      <x:c r="B9" s="18" t="n">
        <x:f>-SUM('Monthly Financials'!H4:H51)+SUM('Monthly Financials'!P4:P51)</x:f>
        <x:v>26974.03000000026</x:v>
      </x:c>
    </x:row>
    <x:row r="10">
      <x:c r="A10" t="str">
        <x:v>Variable selling</x:v>
      </x:c>
      <x:c r="B10" s="18" t="n">
        <x:f>-SUM('Monthly Financials'!I4:I51)+SUM('Monthly Financials'!Q4:Q51)</x:f>
        <x:v>-4244.369999999995</x:v>
      </x:c>
    </x:row>
    <x:row r="11">
      <x:c r="A11" t="str">
        <x:v>Actual contribution profit</x:v>
      </x:c>
      <x:c r="B11" s="18" t="n">
        <x:f>SUM(B4:B10)</x:f>
        <x:v>374673.4399999998</x:v>
      </x:c>
    </x:row>
    <x:row r="14">
      <x:c r="A14" t="str">
        <x:v>Positive impact = favorable to plan; negative = adverse. All modeled, not an actual corporate budget.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28" customHeight="1">
      <x:c r="A1" s="3" t="str">
        <x:v>PROMOTION SCENARIOS  |  LIVE LINKED TO ASSUMPTIONS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15" t="str">
        <x:v>Scenario</x:v>
      </x:c>
      <x:c r="B3" s="15" t="str">
        <x:v>Volume uplift</x:v>
      </x:c>
      <x:c r="C3" s="15" t="str">
        <x:v>Discount change pp</x:v>
      </x:c>
      <x:c r="D3" s="15" t="str">
        <x:v>Trade change pp</x:v>
      </x:c>
      <x:c r="E3" s="15" t="str">
        <x:v>Selling change pp</x:v>
      </x:c>
      <x:c r="F3" s="15" t="str">
        <x:v>Gross sales</x:v>
      </x:c>
      <x:c r="G3" s="15" t="str">
        <x:v>Promo discounts</x:v>
      </x:c>
      <x:c r="H3" s="15" t="str">
        <x:v>Returns</x:v>
      </x:c>
      <x:c r="I3" s="15" t="str">
        <x:v>Trade spend</x:v>
      </x:c>
      <x:c r="J3" s="15" t="str">
        <x:v>Net sales</x:v>
      </x:c>
      <x:c r="K3" s="15" t="str">
        <x:v>COGS</x:v>
      </x:c>
      <x:c r="L3" s="15" t="str">
        <x:v>Selling cost</x:v>
      </x:c>
      <x:c r="M3" s="15" t="str">
        <x:v>Contribution</x:v>
      </x:c>
      <x:c r="N3" s="15" t="str">
        <x:v>Margin</x:v>
      </x:c>
      <x:c r="O3" s="15" t="str">
        <x:v>vs baseline pp</x:v>
      </x:c>
      <x:c r="P3" s="15" t="str">
        <x:v>Profit delta</x:v>
      </x:c>
    </x:row>
    <x:row r="4">
      <x:c r="A4" t="str">
        <x:v>Baseline</x:v>
      </x:c>
      <x:c r="B4" s="6" t="n">
        <x:v>0</x:v>
      </x:c>
      <x:c r="C4" s="6" t="n">
        <x:v>0</x:v>
      </x:c>
      <x:c r="D4" s="6" t="n">
        <x:v>0</x:v>
      </x:c>
      <x:c r="E4" s="6" t="n">
        <x:v>0</x:v>
      </x:c>
      <x:c r="F4" s="20" t="n">
        <x:f>SUM('Monthly Financials'!C4:C51)*(1+B4)</x:f>
        <x:v>1326363.38</x:v>
      </x:c>
      <x:c r="G4" s="20" t="n">
        <x:f>F4*(SUM('Monthly Financials'!D4:D51)/SUM('Monthly Financials'!C4:C51)+C4)</x:f>
        <x:v>144702.53</x:v>
      </x:c>
      <x:c r="H4" s="20" t="n">
        <x:f>F4*Assumptions!B3</x:f>
        <x:v>26527.2676</x:v>
      </x:c>
      <x:c r="I4" s="20" t="n">
        <x:f>F4*(Assumptions!B4+D4)</x:f>
        <x:v>39790.901399999995</x:v>
      </x:c>
      <x:c r="J4" s="20" t="n">
        <x:f>F4-G4-H4-I4</x:f>
        <x:v>1115342.6809999999</x:v>
      </x:c>
      <x:c r="K4" s="20" t="n">
        <x:f>SUM('Monthly Financials'!H4:H51)*(1+B4)</x:f>
        <x:v>674350.9900000001</x:v>
      </x:c>
      <x:c r="L4" s="20" t="n">
        <x:f>F4*(Assumptions!B5+E4)</x:f>
        <x:v>66318.169</x:v>
      </x:c>
      <x:c r="M4" s="20" t="n">
        <x:f>J4-K4-L4</x:f>
        <x:v>374673.52199999976</x:v>
      </x:c>
      <x:c r="N4" s="6" t="n">
        <x:f>M4/J4</x:f>
        <x:v>0.33592682175855854</x:v>
      </x:c>
      <x:c r="O4" s="22" t="n">
        <x:f>(N4-$N$4)*100</x:f>
        <x:v>0</x:v>
      </x:c>
      <x:c r="P4" s="22" t="n">
        <x:f>M4-$M$4</x:f>
        <x:v>0</x:v>
      </x:c>
    </x:row>
    <x:row r="5">
      <x:c r="A5" t="str">
        <x:v>Margin protection</x:v>
      </x:c>
      <x:c r="B5" s="6" t="n">
        <x:v>-0.035</x:v>
      </x:c>
      <x:c r="C5" s="6" t="n">
        <x:v>-0.01</x:v>
      </x:c>
      <x:c r="D5" s="6" t="n">
        <x:v>-0.005</x:v>
      </x:c>
      <x:c r="E5" s="6" t="n">
        <x:v>-0.003</x:v>
      </x:c>
      <x:c r="F5" s="20" t="n">
        <x:f>SUM('Monthly Financials'!C4:C51)*(1+B5)</x:f>
        <x:v>1279940.6616999998</x:v>
      </x:c>
      <x:c r="G5" s="20" t="n">
        <x:f>F5*(SUM('Monthly Financials'!D4:D51)/SUM('Monthly Financials'!C4:C51)+C5)</x:f>
        <x:v>126838.534833</x:v>
      </x:c>
      <x:c r="H5" s="20" t="n">
        <x:f>F5*Assumptions!B3</x:f>
        <x:v>25598.813233999997</x:v>
      </x:c>
      <x:c r="I5" s="20" t="n">
        <x:f>F5*(Assumptions!B4+D5)</x:f>
        <x:v>31998.516542499994</x:v>
      </x:c>
      <x:c r="J5" s="20" t="n">
        <x:f>F5-G5-H5-I5</x:f>
        <x:v>1095504.7970905</x:v>
      </x:c>
      <x:c r="K5" s="20" t="n">
        <x:f>SUM('Monthly Financials'!H4:H51)*(1+B5)</x:f>
        <x:v>650748.7053500001</x:v>
      </x:c>
      <x:c r="L5" s="20" t="n">
        <x:f>F5*(Assumptions!B5+E5)</x:f>
        <x:v>60157.21109989999</x:v>
      </x:c>
      <x:c r="M5" s="20" t="n">
        <x:f>J5-K5-L5</x:f>
        <x:v>384598.8806405998</x:v>
      </x:c>
      <x:c r="N5" s="6" t="n">
        <x:f>M5/J5</x:f>
        <x:v>0.35107001052121184</x:v>
      </x:c>
      <x:c r="O5" s="22" t="n">
        <x:f>(N5-$N$4)*100</x:f>
        <x:v>1.5143188762653303</x:v>
      </x:c>
      <x:c r="P5" s="22" t="n">
        <x:f>M5-$M$4</x:f>
        <x:v>9925.358640600054</x:v>
      </x:c>
    </x:row>
    <x:row r="6">
      <x:c r="A6" t="str">
        <x:v>Growth promotion</x:v>
      </x:c>
      <x:c r="B6" s="6" t="n">
        <x:v>0.15</x:v>
      </x:c>
      <x:c r="C6" s="6" t="n">
        <x:v>0.025</x:v>
      </x:c>
      <x:c r="D6" s="6" t="n">
        <x:v>0.005</x:v>
      </x:c>
      <x:c r="E6" s="6" t="n">
        <x:v>0.006</x:v>
      </x:c>
      <x:c r="F6" s="20" t="n">
        <x:f>SUM('Monthly Financials'!C4:C51)*(1+B6)</x:f>
        <x:v>1525317.8869999996</x:v>
      </x:c>
      <x:c r="G6" s="20" t="n">
        <x:f>F6*(SUM('Monthly Financials'!D4:D51)/SUM('Monthly Financials'!C4:C51)+C6)</x:f>
        <x:v>204540.85667499996</x:v>
      </x:c>
      <x:c r="H6" s="20" t="n">
        <x:f>F6*Assumptions!B3</x:f>
        <x:v>30506.357739999992</x:v>
      </x:c>
      <x:c r="I6" s="20" t="n">
        <x:f>F6*(Assumptions!B4+D6)</x:f>
        <x:v>53386.12604499998</x:v>
      </x:c>
      <x:c r="J6" s="20" t="n">
        <x:f>F6-G6-H6-I6</x:f>
        <x:v>1236884.5465399998</x:v>
      </x:c>
      <x:c r="K6" s="20" t="n">
        <x:f>SUM('Monthly Financials'!H4:H51)*(1+B6)</x:f>
        <x:v>775503.6385000001</x:v>
      </x:c>
      <x:c r="L6" s="20" t="n">
        <x:f>F6*(Assumptions!B5+E6)</x:f>
        <x:v>85417.80167199999</x:v>
      </x:c>
      <x:c r="M6" s="20" t="n">
        <x:f>J6-K6-L6</x:f>
        <x:v>375963.1063679997</x:v>
      </x:c>
      <x:c r="N6" s="6" t="n">
        <x:f>M6/J6</x:f>
        <x:v>0.3039597409634557</x:v>
      </x:c>
      <x:c r="O6" s="22" t="n">
        <x:f>(N6-$N$4)*100</x:f>
        <x:v>-3.1967080795102856</x:v>
      </x:c>
      <x:c r="P6" s="22" t="n">
        <x:f>M6-$M$4</x:f>
        <x:v>1289.5843679999234</x:v>
      </x:c>
    </x:row>
    <x:row r="7">
      <x:c r="A7" t="str">
        <x:v>Balanced offer</x:v>
      </x:c>
      <x:c r="B7" s="6" t="n">
        <x:v>0.08</x:v>
      </x:c>
      <x:c r="C7" s="6" t="n">
        <x:v>0.005</x:v>
      </x:c>
      <x:c r="D7" s="6" t="n">
        <x:v>0</x:v>
      </x:c>
      <x:c r="E7" s="6" t="n">
        <x:v>0.001</x:v>
      </x:c>
      <x:c r="F7" s="20" t="n">
        <x:f>SUM('Monthly Financials'!C4:C51)*(1+B7)</x:f>
        <x:v>1432472.4504</x:v>
      </x:c>
      <x:c r="G7" s="20" t="n">
        <x:f>F7*(SUM('Monthly Financials'!D4:D51)/SUM('Monthly Financials'!C4:C51)+C7)</x:f>
        <x:v>163441.094652</x:v>
      </x:c>
      <x:c r="H7" s="20" t="n">
        <x:f>F7*Assumptions!B3</x:f>
        <x:v>28649.449008</x:v>
      </x:c>
      <x:c r="I7" s="20" t="n">
        <x:f>F7*(Assumptions!B4+D7)</x:f>
        <x:v>42974.173512</x:v>
      </x:c>
      <x:c r="J7" s="20" t="n">
        <x:f>F7-G7-H7-I7</x:f>
        <x:v>1197407.733228</x:v>
      </x:c>
      <x:c r="K7" s="20" t="n">
        <x:f>SUM('Monthly Financials'!H4:H51)*(1+B7)</x:f>
        <x:v>728299.0692000001</x:v>
      </x:c>
      <x:c r="L7" s="20" t="n">
        <x:f>F7*(Assumptions!B5+E7)</x:f>
        <x:v>73056.09497040001</x:v>
      </x:c>
      <x:c r="M7" s="20" t="n">
        <x:f>J7-K7-L7</x:f>
        <x:v>396052.5690576</x:v>
      </x:c>
      <x:c r="N7" s="6" t="n">
        <x:f>M7/J7</x:f>
        <x:v>0.3307583190480256</x:v>
      </x:c>
      <x:c r="O7" s="22" t="n">
        <x:f>(N7-$N$4)*100</x:f>
        <x:v>-0.516850271053293</x:v>
      </x:c>
      <x:c r="P7" s="22" t="n">
        <x:f>M7-$M$4</x:f>
        <x:v>21379.047057600226</x:v>
      </x:c>
    </x:row>
    <x:row r="8">
      <x:c r="A8" t="str">
        <x:v>Aggressive discount</x:v>
      </x:c>
      <x:c r="B8" s="6" t="n">
        <x:v>0.2</x:v>
      </x:c>
      <x:c r="C8" s="6" t="n">
        <x:v>0.06</x:v>
      </x:c>
      <x:c r="D8" s="6" t="n">
        <x:v>0.01</x:v>
      </x:c>
      <x:c r="E8" s="6" t="n">
        <x:v>0.008</x:v>
      </x:c>
      <x:c r="F8" s="20" t="n">
        <x:f>SUM('Monthly Financials'!C4:C51)*(1+B8)</x:f>
        <x:v>1591636.0559999999</x:v>
      </x:c>
      <x:c r="G8" s="20" t="n">
        <x:f>F8*(SUM('Monthly Financials'!D4:D51)/SUM('Monthly Financials'!C4:C51)+C8)</x:f>
        <x:v>269141.19936</x:v>
      </x:c>
      <x:c r="H8" s="20" t="n">
        <x:f>F8*Assumptions!B3</x:f>
        <x:v>31832.72112</x:v>
      </x:c>
      <x:c r="I8" s="20" t="n">
        <x:f>F8*(Assumptions!B4+D8)</x:f>
        <x:v>63665.44224</x:v>
      </x:c>
      <x:c r="J8" s="20" t="n">
        <x:f>F8-G8-H8-I8</x:f>
        <x:v>1226996.69328</x:v>
      </x:c>
      <x:c r="K8" s="20" t="n">
        <x:f>SUM('Monthly Financials'!H4:H51)*(1+B8)</x:f>
        <x:v>809221.1880000001</x:v>
      </x:c>
      <x:c r="L8" s="20" t="n">
        <x:f>F8*(Assumptions!B5+E8)</x:f>
        <x:v>92314.891248</x:v>
      </x:c>
      <x:c r="M8" s="20" t="n">
        <x:f>J8-K8-L8</x:f>
        <x:v>325460.61403199995</x:v>
      </x:c>
      <x:c r="N8" s="6" t="n">
        <x:f>M8/J8</x:f>
        <x:v>0.26524978902916246</x:v>
      </x:c>
      <x:c r="O8" s="22" t="n">
        <x:f>(N8-$N$4)*100</x:f>
        <x:v>-7.067703272939607</x:v>
      </x:c>
      <x:c r="P8" s="22" t="n">
        <x:f>M8-$M$4</x:f>
        <x:v>-49212.90796799981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28" customHeight="1">
      <x:c r="A1" s="3" t="str">
        <x:v>MONTHLY FINANCIALS  |  SYNTHETIC ACTUALS VS MODELED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15" t="str">
        <x:v>Month</x:v>
      </x:c>
      <x:c r="B3" s="15" t="str">
        <x:v>Category</x:v>
      </x:c>
      <x:c r="C3" s="15" t="str">
        <x:v>GrossSales_GBP</x:v>
      </x:c>
      <x:c r="D3" s="15" t="str">
        <x:v>PromoDiscounts_GBP</x:v>
      </x:c>
      <x:c r="E3" s="15" t="str">
        <x:v>Returns_GBP</x:v>
      </x:c>
      <x:c r="F3" s="15" t="str">
        <x:v>TradeSpend_GBP</x:v>
      </x:c>
      <x:c r="G3" s="15" t="str">
        <x:v>NetSales_GBP</x:v>
      </x:c>
      <x:c r="H3" s="15" t="str">
        <x:v>COGS_GBP</x:v>
      </x:c>
      <x:c r="I3" s="15" t="str">
        <x:v>VariableSelling_GBP</x:v>
      </x:c>
      <x:c r="J3" s="15" t="str">
        <x:v>Contribution_GBP</x:v>
      </x:c>
      <x:c r="K3" s="15" t="str">
        <x:v>PlanGross_GBP</x:v>
      </x:c>
      <x:c r="L3" s="15" t="str">
        <x:v>PlanDiscount_GBP</x:v>
      </x:c>
      <x:c r="M3" s="15" t="str">
        <x:v>PlanReturns_GBP</x:v>
      </x:c>
      <x:c r="N3" s="15" t="str">
        <x:v>PlanTradeSpend_GBP</x:v>
      </x:c>
      <x:c r="O3" s="15" t="str">
        <x:v>PlanNetSales_GBP</x:v>
      </x:c>
      <x:c r="P3" s="15" t="str">
        <x:v>PlanCOGS_GBP</x:v>
      </x:c>
      <x:c r="Q3" s="15" t="str">
        <x:v>PlanSelling_GBP</x:v>
      </x:c>
      <x:c r="R3" s="15" t="str">
        <x:v>PlanContribution_GBP</x:v>
      </x:c>
      <x:c r="S3" s="15" t="str">
        <x:v>NetSalesVariance_GBP</x:v>
      </x:c>
      <x:c r="T3" s="15" t="str">
        <x:v>ContributionVariance_GBP</x:v>
      </x:c>
    </x:row>
    <x:row r="4">
      <x:c r="A4" t="str">
        <x:v>2025-01</x:v>
      </x:c>
      <x:c r="B4" t="str">
        <x:v>Gifts</x:v>
      </x:c>
      <x:c r="C4" t="n">
        <x:v>29964.36</x:v>
      </x:c>
      <x:c r="D4" t="n">
        <x:v>2893.81</x:v>
      </x:c>
      <x:c r="E4" t="n">
        <x:v>599.29</x:v>
      </x:c>
      <x:c r="F4" t="n">
        <x:v>898.93</x:v>
      </x:c>
      <x:c r="G4" t="n">
        <x:v>25572.33</x:v>
      </x:c>
      <x:c r="H4" t="n">
        <x:v>12803.73</x:v>
      </x:c>
      <x:c r="I4" t="n">
        <x:v>1498.22</x:v>
      </x:c>
      <x:c r="J4" t="n">
        <x:v>11270.38</x:v>
      </x:c>
      <x:c r="K4" t="n">
        <x:v>31162.93</x:v>
      </x:c>
      <x:c r="L4" t="n">
        <x:v>2493.03</x:v>
      </x:c>
      <x:c r="M4" t="n">
        <x:v>560.93</x:v>
      </x:c>
      <x:c r="N4" t="n">
        <x:v>872.56</x:v>
      </x:c>
      <x:c r="O4" t="n">
        <x:v>27236.4</x:v>
      </x:c>
      <x:c r="P4" t="n">
        <x:v>13315.88</x:v>
      </x:c>
      <x:c r="Q4" t="n">
        <x:v>1402.33</x:v>
      </x:c>
      <x:c r="R4" t="n">
        <x:v>12518.19</x:v>
      </x:c>
      <x:c r="S4" t="n">
        <x:v>-1664.07</x:v>
      </x:c>
      <x:c r="T4" t="n">
        <x:v>-1247.81</x:v>
      </x:c>
    </x:row>
    <x:row r="5">
      <x:c r="A5" t="str">
        <x:v>2025-01</x:v>
      </x:c>
      <x:c r="B5" t="str">
        <x:v>Home</x:v>
      </x:c>
      <x:c r="C5" t="n">
        <x:v>27621.41</x:v>
      </x:c>
      <x:c r="D5" t="n">
        <x:v>2755.06</x:v>
      </x:c>
      <x:c r="E5" t="n">
        <x:v>552.43</x:v>
      </x:c>
      <x:c r="F5" t="n">
        <x:v>828.64</x:v>
      </x:c>
      <x:c r="G5" t="n">
        <x:v>23485.28</x:v>
      </x:c>
      <x:c r="H5" t="n">
        <x:v>13980.38</x:v>
      </x:c>
      <x:c r="I5" t="n">
        <x:v>1381.07</x:v>
      </x:c>
      <x:c r="J5" t="n">
        <x:v>8123.83</x:v>
      </x:c>
      <x:c r="K5" t="n">
        <x:v>28726.27</x:v>
      </x:c>
      <x:c r="L5" t="n">
        <x:v>2298.1</x:v>
      </x:c>
      <x:c r="M5" t="n">
        <x:v>517.07</x:v>
      </x:c>
      <x:c r="N5" t="n">
        <x:v>804.34</x:v>
      </x:c>
      <x:c r="O5" t="n">
        <x:v>25106.76</x:v>
      </x:c>
      <x:c r="P5" t="n">
        <x:v>14539.59</x:v>
      </x:c>
      <x:c r="Q5" t="n">
        <x:v>1292.68</x:v>
      </x:c>
      <x:c r="R5" t="n">
        <x:v>9274.48</x:v>
      </x:c>
      <x:c r="S5" t="n">
        <x:v>-1621.48</x:v>
      </x:c>
      <x:c r="T5" t="n">
        <x:v>-1150.65</x:v>
      </x:c>
    </x:row>
    <x:row r="6">
      <x:c r="A6" t="str">
        <x:v>2025-01</x:v>
      </x:c>
      <x:c r="B6" t="str">
        <x:v>Kitchen</x:v>
      </x:c>
      <x:c r="C6" t="n">
        <x:v>56448.86</x:v>
      </x:c>
      <x:c r="D6" t="n">
        <x:v>7530.23</x:v>
      </x:c>
      <x:c r="E6" t="n">
        <x:v>1128.98</x:v>
      </x:c>
      <x:c r="F6" t="n">
        <x:v>1693.47</x:v>
      </x:c>
      <x:c r="G6" t="n">
        <x:v>46096.19</x:v>
      </x:c>
      <x:c r="H6" t="n">
        <x:v>32202.6</x:v>
      </x:c>
      <x:c r="I6" t="n">
        <x:v>2822.44</x:v>
      </x:c>
      <x:c r="J6" t="n">
        <x:v>11071.14</x:v>
      </x:c>
      <x:c r="K6" t="n">
        <x:v>58706.81</x:v>
      </x:c>
      <x:c r="L6" t="n">
        <x:v>4696.55</x:v>
      </x:c>
      <x:c r="M6" t="n">
        <x:v>1056.72</x:v>
      </x:c>
      <x:c r="N6" t="n">
        <x:v>1643.79</x:v>
      </x:c>
      <x:c r="O6" t="n">
        <x:v>51309.76</x:v>
      </x:c>
      <x:c r="P6" t="n">
        <x:v>33490.7</x:v>
      </x:c>
      <x:c r="Q6" t="n">
        <x:v>2641.81</x:v>
      </x:c>
      <x:c r="R6" t="n">
        <x:v>15177.25</x:v>
      </x:c>
      <x:c r="S6" t="n">
        <x:v>-5213.57</x:v>
      </x:c>
      <x:c r="T6" t="n">
        <x:v>-4106.1</x:v>
      </x:c>
    </x:row>
    <x:row r="7">
      <x:c r="A7" t="str">
        <x:v>2025-01</x:v>
      </x:c>
      <x:c r="B7" t="str">
        <x:v>Seasonal</x:v>
      </x:c>
      <x:c r="C7" t="n">
        <x:v>21577.19</x:v>
      </x:c>
      <x:c r="D7" t="n">
        <x:v>2293.95</x:v>
      </x:c>
      <x:c r="E7" t="n">
        <x:v>431.54</x:v>
      </x:c>
      <x:c r="F7" t="n">
        <x:v>647.32</x:v>
      </x:c>
      <x:c r="G7" t="n">
        <x:v>18204.38</x:v>
      </x:c>
      <x:c r="H7" t="n">
        <x:v>9941.71</x:v>
      </x:c>
      <x:c r="I7" t="n">
        <x:v>1078.86</x:v>
      </x:c>
      <x:c r="J7" t="n">
        <x:v>7183.8</x:v>
      </x:c>
      <x:c r="K7" t="n">
        <x:v>22440.28</x:v>
      </x:c>
      <x:c r="L7" t="n">
        <x:v>1795.22</x:v>
      </x:c>
      <x:c r="M7" t="n">
        <x:v>403.92</x:v>
      </x:c>
      <x:c r="N7" t="n">
        <x:v>628.33</x:v>
      </x:c>
      <x:c r="O7" t="n">
        <x:v>19612.8</x:v>
      </x:c>
      <x:c r="P7" t="n">
        <x:v>10339.38</x:v>
      </x:c>
      <x:c r="Q7" t="n">
        <x:v>1009.81</x:v>
      </x:c>
      <x:c r="R7" t="n">
        <x:v>8263.61</x:v>
      </x:c>
      <x:c r="S7" t="n">
        <x:v>-1408.43</x:v>
      </x:c>
      <x:c r="T7" t="n">
        <x:v>-1079.8</x:v>
      </x:c>
    </x:row>
    <x:row r="8">
      <x:c r="A8" t="str">
        <x:v>2025-02</x:v>
      </x:c>
      <x:c r="B8" t="str">
        <x:v>Gifts</x:v>
      </x:c>
      <x:c r="C8" t="n">
        <x:v>21802.66</x:v>
      </x:c>
      <x:c r="D8" t="n">
        <x:v>2336.86</x:v>
      </x:c>
      <x:c r="E8" t="n">
        <x:v>436.05</x:v>
      </x:c>
      <x:c r="F8" t="n">
        <x:v>654.08</x:v>
      </x:c>
      <x:c r="G8" t="n">
        <x:v>18375.67</x:v>
      </x:c>
      <x:c r="H8" t="n">
        <x:v>9452.43</x:v>
      </x:c>
      <x:c r="I8" t="n">
        <x:v>1090.13</x:v>
      </x:c>
      <x:c r="J8" t="n">
        <x:v>7833.11</x:v>
      </x:c>
      <x:c r="K8" t="n">
        <x:v>22674.77</x:v>
      </x:c>
      <x:c r="L8" t="n">
        <x:v>1813.98</x:v>
      </x:c>
      <x:c r="M8" t="n">
        <x:v>408.15</x:v>
      </x:c>
      <x:c r="N8" t="n">
        <x:v>634.89</x:v>
      </x:c>
      <x:c r="O8" t="n">
        <x:v>19817.75</x:v>
      </x:c>
      <x:c r="P8" t="n">
        <x:v>9830.52</x:v>
      </x:c>
      <x:c r="Q8" t="n">
        <x:v>1020.36</x:v>
      </x:c>
      <x:c r="R8" t="n">
        <x:v>8966.86</x:v>
      </x:c>
      <x:c r="S8" t="n">
        <x:v>-1442.08</x:v>
      </x:c>
      <x:c r="T8" t="n">
        <x:v>-1133.75</x:v>
      </x:c>
    </x:row>
    <x:row r="9">
      <x:c r="A9" t="str">
        <x:v>2025-02</x:v>
      </x:c>
      <x:c r="B9" t="str">
        <x:v>Home</x:v>
      </x:c>
      <x:c r="C9" t="n">
        <x:v>23904.94</x:v>
      </x:c>
      <x:c r="D9" t="n">
        <x:v>2541.51</x:v>
      </x:c>
      <x:c r="E9" t="n">
        <x:v>478.1</x:v>
      </x:c>
      <x:c r="F9" t="n">
        <x:v>717.15</x:v>
      </x:c>
      <x:c r="G9" t="n">
        <x:v>20168.19</x:v>
      </x:c>
      <x:c r="H9" t="n">
        <x:v>12157.76</x:v>
      </x:c>
      <x:c r="I9" t="n">
        <x:v>1195.25</x:v>
      </x:c>
      <x:c r="J9" t="n">
        <x:v>6815.18</x:v>
      </x:c>
      <x:c r="K9" t="n">
        <x:v>24861.14</x:v>
      </x:c>
      <x:c r="L9" t="n">
        <x:v>1988.89</x:v>
      </x:c>
      <x:c r="M9" t="n">
        <x:v>447.5</x:v>
      </x:c>
      <x:c r="N9" t="n">
        <x:v>696.11</x:v>
      </x:c>
      <x:c r="O9" t="n">
        <x:v>21728.63</x:v>
      </x:c>
      <x:c r="P9" t="n">
        <x:v>12644.07</x:v>
      </x:c>
      <x:c r="Q9" t="n">
        <x:v>1118.75</x:v>
      </x:c>
      <x:c r="R9" t="n">
        <x:v>7965.82</x:v>
      </x:c>
      <x:c r="S9" t="n">
        <x:v>-1560.45</x:v>
      </x:c>
      <x:c r="T9" t="n">
        <x:v>-1150.63</x:v>
      </x:c>
    </x:row>
    <x:row r="10">
      <x:c r="A10" t="str">
        <x:v>2025-02</x:v>
      </x:c>
      <x:c r="B10" t="str">
        <x:v>Kitchen</x:v>
      </x:c>
      <x:c r="C10" t="n">
        <x:v>41256.51</x:v>
      </x:c>
      <x:c r="D10" t="n">
        <x:v>4384.82</x:v>
      </x:c>
      <x:c r="E10" t="n">
        <x:v>825.13</x:v>
      </x:c>
      <x:c r="F10" t="n">
        <x:v>1237.7</x:v>
      </x:c>
      <x:c r="G10" t="n">
        <x:v>34808.87</x:v>
      </x:c>
      <x:c r="H10" t="n">
        <x:v>23581.46</x:v>
      </x:c>
      <x:c r="I10" t="n">
        <x:v>2062.83</x:v>
      </x:c>
      <x:c r="J10" t="n">
        <x:v>9164.58</x:v>
      </x:c>
      <x:c r="K10" t="n">
        <x:v>42906.77</x:v>
      </x:c>
      <x:c r="L10" t="n">
        <x:v>3432.54</x:v>
      </x:c>
      <x:c r="M10" t="n">
        <x:v>772.32</x:v>
      </x:c>
      <x:c r="N10" t="n">
        <x:v>1201.39</x:v>
      </x:c>
      <x:c r="O10" t="n">
        <x:v>37500.52</x:v>
      </x:c>
      <x:c r="P10" t="n">
        <x:v>24524.72</x:v>
      </x:c>
      <x:c r="Q10" t="n">
        <x:v>1930.8</x:v>
      </x:c>
      <x:c r="R10" t="n">
        <x:v>11045</x:v>
      </x:c>
      <x:c r="S10" t="n">
        <x:v>-2691.65</x:v>
      </x:c>
      <x:c r="T10" t="n">
        <x:v>-1880.41</x:v>
      </x:c>
    </x:row>
    <x:row r="11">
      <x:c r="A11" t="str">
        <x:v>2025-02</x:v>
      </x:c>
      <x:c r="B11" t="str">
        <x:v>Seasonal</x:v>
      </x:c>
      <x:c r="C11" t="n">
        <x:v>16305.52</x:v>
      </x:c>
      <x:c r="D11" t="n">
        <x:v>1295.67</x:v>
      </x:c>
      <x:c r="E11" t="n">
        <x:v>326.11</x:v>
      </x:c>
      <x:c r="F11" t="n">
        <x:v>489.17</x:v>
      </x:c>
      <x:c r="G11" t="n">
        <x:v>14194.58</x:v>
      </x:c>
      <x:c r="H11" t="n">
        <x:v>7480.47</x:v>
      </x:c>
      <x:c r="I11" t="n">
        <x:v>815.28</x:v>
      </x:c>
      <x:c r="J11" t="n">
        <x:v>5898.83</x:v>
      </x:c>
      <x:c r="K11" t="n">
        <x:v>16957.74</x:v>
      </x:c>
      <x:c r="L11" t="n">
        <x:v>1356.62</x:v>
      </x:c>
      <x:c r="M11" t="n">
        <x:v>305.24</x:v>
      </x:c>
      <x:c r="N11" t="n">
        <x:v>474.82</x:v>
      </x:c>
      <x:c r="O11" t="n">
        <x:v>14821.07</x:v>
      </x:c>
      <x:c r="P11" t="n">
        <x:v>7779.69</x:v>
      </x:c>
      <x:c r="Q11" t="n">
        <x:v>763.1</x:v>
      </x:c>
      <x:c r="R11" t="n">
        <x:v>6278.28</x:v>
      </x:c>
      <x:c r="S11" t="n">
        <x:v>-626.49</x:v>
      </x:c>
      <x:c r="T11" t="n">
        <x:v>-379.45</x:v>
      </x:c>
    </x:row>
    <x:row r="12">
      <x:c r="A12" t="str">
        <x:v>2025-03</x:v>
      </x:c>
      <x:c r="B12" t="str">
        <x:v>Gifts</x:v>
      </x:c>
      <x:c r="C12" t="n">
        <x:v>27107.14</x:v>
      </x:c>
      <x:c r="D12" t="n">
        <x:v>3353.49</x:v>
      </x:c>
      <x:c r="E12" t="n">
        <x:v>542.14</x:v>
      </x:c>
      <x:c r="F12" t="n">
        <x:v>813.21</x:v>
      </x:c>
      <x:c r="G12" t="n">
        <x:v>22398.3</x:v>
      </x:c>
      <x:c r="H12" t="n">
        <x:v>11698.78</x:v>
      </x:c>
      <x:c r="I12" t="n">
        <x:v>1355.36</x:v>
      </x:c>
      <x:c r="J12" t="n">
        <x:v>9344.16</x:v>
      </x:c>
      <x:c r="K12" t="n">
        <x:v>28191.43</x:v>
      </x:c>
      <x:c r="L12" t="n">
        <x:v>2255.31</x:v>
      </x:c>
      <x:c r="M12" t="n">
        <x:v>507.45</x:v>
      </x:c>
      <x:c r="N12" t="n">
        <x:v>789.36</x:v>
      </x:c>
      <x:c r="O12" t="n">
        <x:v>24639.31</x:v>
      </x:c>
      <x:c r="P12" t="n">
        <x:v>12166.73</x:v>
      </x:c>
      <x:c r="Q12" t="n">
        <x:v>1268.61</x:v>
      </x:c>
      <x:c r="R12" t="n">
        <x:v>11203.97</x:v>
      </x:c>
      <x:c r="S12" t="n">
        <x:v>-2241.01</x:v>
      </x:c>
      <x:c r="T12" t="n">
        <x:v>-1859.8</x:v>
      </x:c>
    </x:row>
    <x:row r="13">
      <x:c r="A13" t="str">
        <x:v>2025-03</x:v>
      </x:c>
      <x:c r="B13" t="str">
        <x:v>Home</x:v>
      </x:c>
      <x:c r="C13" t="n">
        <x:v>24497.97</x:v>
      </x:c>
      <x:c r="D13" t="n">
        <x:v>2712.69</x:v>
      </x:c>
      <x:c r="E13" t="n">
        <x:v>489.96</x:v>
      </x:c>
      <x:c r="F13" t="n">
        <x:v>734.94</x:v>
      </x:c>
      <x:c r="G13" t="n">
        <x:v>20560.38</x:v>
      </x:c>
      <x:c r="H13" t="n">
        <x:v>12464.11</x:v>
      </x:c>
      <x:c r="I13" t="n">
        <x:v>1224.9</x:v>
      </x:c>
      <x:c r="J13" t="n">
        <x:v>6871.37</x:v>
      </x:c>
      <x:c r="K13" t="n">
        <x:v>25477.89</x:v>
      </x:c>
      <x:c r="L13" t="n">
        <x:v>2038.23</x:v>
      </x:c>
      <x:c r="M13" t="n">
        <x:v>458.6</x:v>
      </x:c>
      <x:c r="N13" t="n">
        <x:v>713.38</x:v>
      </x:c>
      <x:c r="O13" t="n">
        <x:v>22267.67</x:v>
      </x:c>
      <x:c r="P13" t="n">
        <x:v>12962.67</x:v>
      </x:c>
      <x:c r="Q13" t="n">
        <x:v>1146.5</x:v>
      </x:c>
      <x:c r="R13" t="n">
        <x:v>8158.5</x:v>
      </x:c>
      <x:c r="S13" t="n">
        <x:v>-1707.3</x:v>
      </x:c>
      <x:c r="T13" t="n">
        <x:v>-1287.12</x:v>
      </x:c>
    </x:row>
    <x:row r="14">
      <x:c r="A14" t="str">
        <x:v>2025-03</x:v>
      </x:c>
      <x:c r="B14" t="str">
        <x:v>Kitchen</x:v>
      </x:c>
      <x:c r="C14" t="n">
        <x:v>47320.3</x:v>
      </x:c>
      <x:c r="D14" t="n">
        <x:v>5936.22</x:v>
      </x:c>
      <x:c r="E14" t="n">
        <x:v>946.41</x:v>
      </x:c>
      <x:c r="F14" t="n">
        <x:v>1419.61</x:v>
      </x:c>
      <x:c r="G14" t="n">
        <x:v>39018.06</x:v>
      </x:c>
      <x:c r="H14" t="n">
        <x:v>27049.53</x:v>
      </x:c>
      <x:c r="I14" t="n">
        <x:v>2366.01</x:v>
      </x:c>
      <x:c r="J14" t="n">
        <x:v>9602.52</x:v>
      </x:c>
      <x:c r="K14" t="n">
        <x:v>49213.11</x:v>
      </x:c>
      <x:c r="L14" t="n">
        <x:v>3937.05</x:v>
      </x:c>
      <x:c r="M14" t="n">
        <x:v>885.84</x:v>
      </x:c>
      <x:c r="N14" t="n">
        <x:v>1377.97</x:v>
      </x:c>
      <x:c r="O14" t="n">
        <x:v>43012.26</x:v>
      </x:c>
      <x:c r="P14" t="n">
        <x:v>28131.51</x:v>
      </x:c>
      <x:c r="Q14" t="n">
        <x:v>2214.59</x:v>
      </x:c>
      <x:c r="R14" t="n">
        <x:v>12666.16</x:v>
      </x:c>
      <x:c r="S14" t="n">
        <x:v>-3994.2</x:v>
      </x:c>
      <x:c r="T14" t="n">
        <x:v>-3063.64</x:v>
      </x:c>
    </x:row>
    <x:row r="15">
      <x:c r="A15" t="str">
        <x:v>2025-03</x:v>
      </x:c>
      <x:c r="B15" t="str">
        <x:v>Seasonal</x:v>
      </x:c>
      <x:c r="C15" t="n">
        <x:v>13738.29</x:v>
      </x:c>
      <x:c r="D15" t="n">
        <x:v>1665.59</x:v>
      </x:c>
      <x:c r="E15" t="n">
        <x:v>274.77</x:v>
      </x:c>
      <x:c r="F15" t="n">
        <x:v>412.15</x:v>
      </x:c>
      <x:c r="G15" t="n">
        <x:v>11385.79</x:v>
      </x:c>
      <x:c r="H15" t="n">
        <x:v>6251.59</x:v>
      </x:c>
      <x:c r="I15" t="n">
        <x:v>686.91</x:v>
      </x:c>
      <x:c r="J15" t="n">
        <x:v>4447.28</x:v>
      </x:c>
      <x:c r="K15" t="n">
        <x:v>14287.82</x:v>
      </x:c>
      <x:c r="L15" t="n">
        <x:v>1143.03</x:v>
      </x:c>
      <x:c r="M15" t="n">
        <x:v>257.18</x:v>
      </x:c>
      <x:c r="N15" t="n">
        <x:v>400.06</x:v>
      </x:c>
      <x:c r="O15" t="n">
        <x:v>12487.56</x:v>
      </x:c>
      <x:c r="P15" t="n">
        <x:v>6501.65</x:v>
      </x:c>
      <x:c r="Q15" t="n">
        <x:v>642.95</x:v>
      </x:c>
      <x:c r="R15" t="n">
        <x:v>5342.95</x:v>
      </x:c>
      <x:c r="S15" t="n">
        <x:v>-1101.77</x:v>
      </x:c>
      <x:c r="T15" t="n">
        <x:v>-895.67</x:v>
      </x:c>
    </x:row>
    <x:row r="16">
      <x:c r="A16" t="str">
        <x:v>2025-04</x:v>
      </x:c>
      <x:c r="B16" t="str">
        <x:v>Gifts</x:v>
      </x:c>
      <x:c r="C16" t="n">
        <x:v>18327.07</x:v>
      </x:c>
      <x:c r="D16" t="n">
        <x:v>1686.62</x:v>
      </x:c>
      <x:c r="E16" t="n">
        <x:v>366.54</x:v>
      </x:c>
      <x:c r="F16" t="n">
        <x:v>549.81</x:v>
      </x:c>
      <x:c r="G16" t="n">
        <x:v>15724.09</x:v>
      </x:c>
      <x:c r="H16" t="n">
        <x:v>7851.54</x:v>
      </x:c>
      <x:c r="I16" t="n">
        <x:v>916.35</x:v>
      </x:c>
      <x:c r="J16" t="n">
        <x:v>6956.2</x:v>
      </x:c>
      <x:c r="K16" t="n">
        <x:v>19060.15</x:v>
      </x:c>
      <x:c r="L16" t="n">
        <x:v>1524.81</x:v>
      </x:c>
      <x:c r="M16" t="n">
        <x:v>343.08</x:v>
      </x:c>
      <x:c r="N16" t="n">
        <x:v>533.68</x:v>
      </x:c>
      <x:c r="O16" t="n">
        <x:v>16658.57</x:v>
      </x:c>
      <x:c r="P16" t="n">
        <x:v>8165.61</x:v>
      </x:c>
      <x:c r="Q16" t="n">
        <x:v>857.71</x:v>
      </x:c>
      <x:c r="R16" t="n">
        <x:v>7635.26</x:v>
      </x:c>
      <x:c r="S16" t="n">
        <x:v>-934.48</x:v>
      </x:c>
      <x:c r="T16" t="n">
        <x:v>-679.06</x:v>
      </x:c>
    </x:row>
    <x:row r="17">
      <x:c r="A17" t="str">
        <x:v>2025-04</x:v>
      </x:c>
      <x:c r="B17" t="str">
        <x:v>Home</x:v>
      </x:c>
      <x:c r="C17" t="n">
        <x:v>24887.46</x:v>
      </x:c>
      <x:c r="D17" t="n">
        <x:v>2973.11</x:v>
      </x:c>
      <x:c r="E17" t="n">
        <x:v>497.75</x:v>
      </x:c>
      <x:c r="F17" t="n">
        <x:v>746.62</x:v>
      </x:c>
      <x:c r="G17" t="n">
        <x:v>20669.98</x:v>
      </x:c>
      <x:c r="H17" t="n">
        <x:v>12571.66</x:v>
      </x:c>
      <x:c r="I17" t="n">
        <x:v>1244.37</x:v>
      </x:c>
      <x:c r="J17" t="n">
        <x:v>6853.95</x:v>
      </x:c>
      <x:c r="K17" t="n">
        <x:v>25882.96</x:v>
      </x:c>
      <x:c r="L17" t="n">
        <x:v>2070.64</x:v>
      </x:c>
      <x:c r="M17" t="n">
        <x:v>465.89</x:v>
      </x:c>
      <x:c r="N17" t="n">
        <x:v>724.72</x:v>
      </x:c>
      <x:c r="O17" t="n">
        <x:v>22621.71</x:v>
      </x:c>
      <x:c r="P17" t="n">
        <x:v>13074.53</x:v>
      </x:c>
      <x:c r="Q17" t="n">
        <x:v>1164.73</x:v>
      </x:c>
      <x:c r="R17" t="n">
        <x:v>8382.44</x:v>
      </x:c>
      <x:c r="S17" t="n">
        <x:v>-1951.72</x:v>
      </x:c>
      <x:c r="T17" t="n">
        <x:v>-1528.5</x:v>
      </x:c>
    </x:row>
    <x:row r="18">
      <x:c r="A18" t="str">
        <x:v>2025-04</x:v>
      </x:c>
      <x:c r="B18" t="str">
        <x:v>Kitchen</x:v>
      </x:c>
      <x:c r="C18" t="n">
        <x:v>34140.78</x:v>
      </x:c>
      <x:c r="D18" t="n">
        <x:v>3633.7</x:v>
      </x:c>
      <x:c r="E18" t="n">
        <x:v>682.82</x:v>
      </x:c>
      <x:c r="F18" t="n">
        <x:v>1024.22</x:v>
      </x:c>
      <x:c r="G18" t="n">
        <x:v>28800.04</x:v>
      </x:c>
      <x:c r="H18" t="n">
        <x:v>19617.57</x:v>
      </x:c>
      <x:c r="I18" t="n">
        <x:v>1707.04</x:v>
      </x:c>
      <x:c r="J18" t="n">
        <x:v>7475.44</x:v>
      </x:c>
      <x:c r="K18" t="n">
        <x:v>35506.41</x:v>
      </x:c>
      <x:c r="L18" t="n">
        <x:v>2840.51</x:v>
      </x:c>
      <x:c r="M18" t="n">
        <x:v>639.12</x:v>
      </x:c>
      <x:c r="N18" t="n">
        <x:v>994.18</x:v>
      </x:c>
      <x:c r="O18" t="n">
        <x:v>31032.6</x:v>
      </x:c>
      <x:c r="P18" t="n">
        <x:v>20402.27</x:v>
      </x:c>
      <x:c r="Q18" t="n">
        <x:v>1597.79</x:v>
      </x:c>
      <x:c r="R18" t="n">
        <x:v>9032.55</x:v>
      </x:c>
      <x:c r="S18" t="n">
        <x:v>-2232.56</x:v>
      </x:c>
      <x:c r="T18" t="n">
        <x:v>-1557.11</x:v>
      </x:c>
    </x:row>
    <x:row r="19">
      <x:c r="A19" t="str">
        <x:v>2025-04</x:v>
      </x:c>
      <x:c r="B19" t="str">
        <x:v>Seasonal</x:v>
      </x:c>
      <x:c r="C19" t="n">
        <x:v>14575.81</x:v>
      </x:c>
      <x:c r="D19" t="n">
        <x:v>1257.24</x:v>
      </x:c>
      <x:c r="E19" t="n">
        <x:v>291.52</x:v>
      </x:c>
      <x:c r="F19" t="n">
        <x:v>437.27</x:v>
      </x:c>
      <x:c r="G19" t="n">
        <x:v>12589.78</x:v>
      </x:c>
      <x:c r="H19" t="n">
        <x:v>6690.08</x:v>
      </x:c>
      <x:c r="I19" t="n">
        <x:v>728.79</x:v>
      </x:c>
      <x:c r="J19" t="n">
        <x:v>5170.91</x:v>
      </x:c>
      <x:c r="K19" t="n">
        <x:v>15158.84</x:v>
      </x:c>
      <x:c r="L19" t="n">
        <x:v>1212.71</x:v>
      </x:c>
      <x:c r="M19" t="n">
        <x:v>272.86</x:v>
      </x:c>
      <x:c r="N19" t="n">
        <x:v>424.45</x:v>
      </x:c>
      <x:c r="O19" t="n">
        <x:v>13248.83</x:v>
      </x:c>
      <x:c r="P19" t="n">
        <x:v>6957.68</x:v>
      </x:c>
      <x:c r="Q19" t="n">
        <x:v>682.15</x:v>
      </x:c>
      <x:c r="R19" t="n">
        <x:v>5609</x:v>
      </x:c>
      <x:c r="S19" t="n">
        <x:v>-659.05</x:v>
      </x:c>
      <x:c r="T19" t="n">
        <x:v>-438.09</x:v>
      </x:c>
    </x:row>
    <x:row r="20">
      <x:c r="A20" t="str">
        <x:v>2025-05</x:v>
      </x:c>
      <x:c r="B20" t="str">
        <x:v>Gifts</x:v>
      </x:c>
      <x:c r="C20" t="n">
        <x:v>30700.52</x:v>
      </x:c>
      <x:c r="D20" t="n">
        <x:v>2888.46</x:v>
      </x:c>
      <x:c r="E20" t="n">
        <x:v>614.01</x:v>
      </x:c>
      <x:c r="F20" t="n">
        <x:v>921.02</x:v>
      </x:c>
      <x:c r="G20" t="n">
        <x:v>26277.04</x:v>
      </x:c>
      <x:c r="H20" t="n">
        <x:v>13245.93</x:v>
      </x:c>
      <x:c r="I20" t="n">
        <x:v>1535.03</x:v>
      </x:c>
      <x:c r="J20" t="n">
        <x:v>11496.08</x:v>
      </x:c>
      <x:c r="K20" t="n">
        <x:v>31928.54</x:v>
      </x:c>
      <x:c r="L20" t="n">
        <x:v>2554.28</x:v>
      </x:c>
      <x:c r="M20" t="n">
        <x:v>574.71</x:v>
      </x:c>
      <x:c r="N20" t="n">
        <x:v>894</x:v>
      </x:c>
      <x:c r="O20" t="n">
        <x:v>27905.54</x:v>
      </x:c>
      <x:c r="P20" t="n">
        <x:v>13775.77</x:v>
      </x:c>
      <x:c r="Q20" t="n">
        <x:v>1436.78</x:v>
      </x:c>
      <x:c r="R20" t="n">
        <x:v>12692.99</x:v>
      </x:c>
      <x:c r="S20" t="n">
        <x:v>-1628.51</x:v>
      </x:c>
      <x:c r="T20" t="n">
        <x:v>-1196.91</x:v>
      </x:c>
    </x:row>
    <x:row r="21">
      <x:c r="A21" t="str">
        <x:v>2025-05</x:v>
      </x:c>
      <x:c r="B21" t="str">
        <x:v>Home</x:v>
      </x:c>
      <x:c r="C21" t="n">
        <x:v>25594.34</x:v>
      </x:c>
      <x:c r="D21" t="n">
        <x:v>3361.16</x:v>
      </x:c>
      <x:c r="E21" t="n">
        <x:v>511.89</x:v>
      </x:c>
      <x:c r="F21" t="n">
        <x:v>767.83</x:v>
      </x:c>
      <x:c r="G21" t="n">
        <x:v>20953.46</x:v>
      </x:c>
      <x:c r="H21" t="n">
        <x:v>13119.72</x:v>
      </x:c>
      <x:c r="I21" t="n">
        <x:v>1279.72</x:v>
      </x:c>
      <x:c r="J21" t="n">
        <x:v>6554.03</x:v>
      </x:c>
      <x:c r="K21" t="n">
        <x:v>26618.11</x:v>
      </x:c>
      <x:c r="L21" t="n">
        <x:v>2129.45</x:v>
      </x:c>
      <x:c r="M21" t="n">
        <x:v>479.13</x:v>
      </x:c>
      <x:c r="N21" t="n">
        <x:v>745.31</x:v>
      </x:c>
      <x:c r="O21" t="n">
        <x:v>23264.23</x:v>
      </x:c>
      <x:c r="P21" t="n">
        <x:v>13644.5</x:v>
      </x:c>
      <x:c r="Q21" t="n">
        <x:v>1197.82</x:v>
      </x:c>
      <x:c r="R21" t="n">
        <x:v>8421.91</x:v>
      </x:c>
      <x:c r="S21" t="n">
        <x:v>-2310.77</x:v>
      </x:c>
      <x:c r="T21" t="n">
        <x:v>-1867.89</x:v>
      </x:c>
    </x:row>
    <x:row r="22">
      <x:c r="A22" t="str">
        <x:v>2025-05</x:v>
      </x:c>
      <x:c r="B22" t="str">
        <x:v>Kitchen</x:v>
      </x:c>
      <x:c r="C22" t="n">
        <x:v>40838.08</x:v>
      </x:c>
      <x:c r="D22" t="n">
        <x:v>4120.76</x:v>
      </x:c>
      <x:c r="E22" t="n">
        <x:v>816.76</x:v>
      </x:c>
      <x:c r="F22" t="n">
        <x:v>1225.14</x:v>
      </x:c>
      <x:c r="G22" t="n">
        <x:v>34675.41</x:v>
      </x:c>
      <x:c r="H22" t="n">
        <x:v>23000.14</x:v>
      </x:c>
      <x:c r="I22" t="n">
        <x:v>2041.9</x:v>
      </x:c>
      <x:c r="J22" t="n">
        <x:v>9633.37</x:v>
      </x:c>
      <x:c r="K22" t="n">
        <x:v>42471.6</x:v>
      </x:c>
      <x:c r="L22" t="n">
        <x:v>3397.73</x:v>
      </x:c>
      <x:c r="M22" t="n">
        <x:v>764.49</x:v>
      </x:c>
      <x:c r="N22" t="n">
        <x:v>1189.2</x:v>
      </x:c>
      <x:c r="O22" t="n">
        <x:v>37120.18</x:v>
      </x:c>
      <x:c r="P22" t="n">
        <x:v>23920.14</x:v>
      </x:c>
      <x:c r="Q22" t="n">
        <x:v>1911.22</x:v>
      </x:c>
      <x:c r="R22" t="n">
        <x:v>11288.82</x:v>
      </x:c>
      <x:c r="S22" t="n">
        <x:v>-2444.77</x:v>
      </x:c>
      <x:c r="T22" t="n">
        <x:v>-1655.45</x:v>
      </x:c>
    </x:row>
    <x:row r="23">
      <x:c r="A23" t="str">
        <x:v>2025-05</x:v>
      </x:c>
      <x:c r="B23" t="str">
        <x:v>Seasonal</x:v>
      </x:c>
      <x:c r="C23" t="n">
        <x:v>15783.3</x:v>
      </x:c>
      <x:c r="D23" t="n">
        <x:v>1660.61</x:v>
      </x:c>
      <x:c r="E23" t="n">
        <x:v>315.67</x:v>
      </x:c>
      <x:c r="F23" t="n">
        <x:v>473.5</x:v>
      </x:c>
      <x:c r="G23" t="n">
        <x:v>13333.52</x:v>
      </x:c>
      <x:c r="H23" t="n">
        <x:v>7306.63</x:v>
      </x:c>
      <x:c r="I23" t="n">
        <x:v>789.17</x:v>
      </x:c>
      <x:c r="J23" t="n">
        <x:v>5237.72</x:v>
      </x:c>
      <x:c r="K23" t="n">
        <x:v>16414.63</x:v>
      </x:c>
      <x:c r="L23" t="n">
        <x:v>1313.17</x:v>
      </x:c>
      <x:c r="M23" t="n">
        <x:v>295.46</x:v>
      </x:c>
      <x:c r="N23" t="n">
        <x:v>459.61</x:v>
      </x:c>
      <x:c r="O23" t="n">
        <x:v>14346.39</x:v>
      </x:c>
      <x:c r="P23" t="n">
        <x:v>7598.9</x:v>
      </x:c>
      <x:c r="Q23" t="n">
        <x:v>738.66</x:v>
      </x:c>
      <x:c r="R23" t="n">
        <x:v>6008.83</x:v>
      </x:c>
      <x:c r="S23" t="n">
        <x:v>-1012.87</x:v>
      </x:c>
      <x:c r="T23" t="n">
        <x:v>-771.11</x:v>
      </x:c>
    </x:row>
    <x:row r="24">
      <x:c r="A24" t="str">
        <x:v>2025-06</x:v>
      </x:c>
      <x:c r="B24" t="str">
        <x:v>Gifts</x:v>
      </x:c>
      <x:c r="C24" t="n">
        <x:v>23740.99</x:v>
      </x:c>
      <x:c r="D24" t="n">
        <x:v>2213.26</x:v>
      </x:c>
      <x:c r="E24" t="n">
        <x:v>474.82</x:v>
      </x:c>
      <x:c r="F24" t="n">
        <x:v>712.23</x:v>
      </x:c>
      <x:c r="G24" t="n">
        <x:v>20340.68</x:v>
      </x:c>
      <x:c r="H24" t="n">
        <x:v>10289.7</x:v>
      </x:c>
      <x:c r="I24" t="n">
        <x:v>1187.05</x:v>
      </x:c>
      <x:c r="J24" t="n">
        <x:v>8863.92</x:v>
      </x:c>
      <x:c r="K24" t="n">
        <x:v>24690.63</x:v>
      </x:c>
      <x:c r="L24" t="n">
        <x:v>1975.25</x:v>
      </x:c>
      <x:c r="M24" t="n">
        <x:v>444.43</x:v>
      </x:c>
      <x:c r="N24" t="n">
        <x:v>691.34</x:v>
      </x:c>
      <x:c r="O24" t="n">
        <x:v>21579.61</x:v>
      </x:c>
      <x:c r="P24" t="n">
        <x:v>10701.29</x:v>
      </x:c>
      <x:c r="Q24" t="n">
        <x:v>1111.08</x:v>
      </x:c>
      <x:c r="R24" t="n">
        <x:v>9767.24</x:v>
      </x:c>
      <x:c r="S24" t="n">
        <x:v>-1238.93</x:v>
      </x:c>
      <x:c r="T24" t="n">
        <x:v>-903.32</x:v>
      </x:c>
    </x:row>
    <x:row r="25">
      <x:c r="A25" t="str">
        <x:v>2025-06</x:v>
      </x:c>
      <x:c r="B25" t="str">
        <x:v>Home</x:v>
      </x:c>
      <x:c r="C25" t="n">
        <x:v>29059.42</x:v>
      </x:c>
      <x:c r="D25" t="n">
        <x:v>2641.97</x:v>
      </x:c>
      <x:c r="E25" t="n">
        <x:v>581.19</x:v>
      </x:c>
      <x:c r="F25" t="n">
        <x:v>871.78</x:v>
      </x:c>
      <x:c r="G25" t="n">
        <x:v>24964.48</x:v>
      </x:c>
      <x:c r="H25" t="n">
        <x:v>14895.68</x:v>
      </x:c>
      <x:c r="I25" t="n">
        <x:v>1452.97</x:v>
      </x:c>
      <x:c r="J25" t="n">
        <x:v>8615.83</x:v>
      </x:c>
      <x:c r="K25" t="n">
        <x:v>30221.8</x:v>
      </x:c>
      <x:c r="L25" t="n">
        <x:v>2417.74</x:v>
      </x:c>
      <x:c r="M25" t="n">
        <x:v>543.99</x:v>
      </x:c>
      <x:c r="N25" t="n">
        <x:v>846.21</x:v>
      </x:c>
      <x:c r="O25" t="n">
        <x:v>26413.85</x:v>
      </x:c>
      <x:c r="P25" t="n">
        <x:v>15491.51</x:v>
      </x:c>
      <x:c r="Q25" t="n">
        <x:v>1359.98</x:v>
      </x:c>
      <x:c r="R25" t="n">
        <x:v>9562.36</x:v>
      </x:c>
      <x:c r="S25" t="n">
        <x:v>-1449.37</x:v>
      </x:c>
      <x:c r="T25" t="n">
        <x:v>-946.53</x:v>
      </x:c>
    </x:row>
    <x:row r="26">
      <x:c r="A26" t="str">
        <x:v>2025-06</x:v>
      </x:c>
      <x:c r="B26" t="str">
        <x:v>Kitchen</x:v>
      </x:c>
      <x:c r="C26" t="n">
        <x:v>48578.77</x:v>
      </x:c>
      <x:c r="D26" t="n">
        <x:v>5309.25</x:v>
      </x:c>
      <x:c r="E26" t="n">
        <x:v>971.58</x:v>
      </x:c>
      <x:c r="F26" t="n">
        <x:v>1457.36</x:v>
      </x:c>
      <x:c r="G26" t="n">
        <x:v>40840.58</x:v>
      </x:c>
      <x:c r="H26" t="n">
        <x:v>27926.81</x:v>
      </x:c>
      <x:c r="I26" t="n">
        <x:v>2428.94</x:v>
      </x:c>
      <x:c r="J26" t="n">
        <x:v>10484.83</x:v>
      </x:c>
      <x:c r="K26" t="n">
        <x:v>50521.92</x:v>
      </x:c>
      <x:c r="L26" t="n">
        <x:v>4041.75</x:v>
      </x:c>
      <x:c r="M26" t="n">
        <x:v>909.39</x:v>
      </x:c>
      <x:c r="N26" t="n">
        <x:v>1414.61</x:v>
      </x:c>
      <x:c r="O26" t="n">
        <x:v>44156.16</x:v>
      </x:c>
      <x:c r="P26" t="n">
        <x:v>29043.88</x:v>
      </x:c>
      <x:c r="Q26" t="n">
        <x:v>2273.49</x:v>
      </x:c>
      <x:c r="R26" t="n">
        <x:v>12838.79</x:v>
      </x:c>
      <x:c r="S26" t="n">
        <x:v>-3315.58</x:v>
      </x:c>
      <x:c r="T26" t="n">
        <x:v>-2353.96</x:v>
      </x:c>
    </x:row>
    <x:row r="27">
      <x:c r="A27" t="str">
        <x:v>2025-06</x:v>
      </x:c>
      <x:c r="B27" t="str">
        <x:v>Seasonal</x:v>
      </x:c>
      <x:c r="C27" t="n">
        <x:v>13991.28</x:v>
      </x:c>
      <x:c r="D27" t="n">
        <x:v>1844.27</x:v>
      </x:c>
      <x:c r="E27" t="n">
        <x:v>279.83</x:v>
      </x:c>
      <x:c r="F27" t="n">
        <x:v>419.74</x:v>
      </x:c>
      <x:c r="G27" t="n">
        <x:v>11447.45</x:v>
      </x:c>
      <x:c r="H27" t="n">
        <x:v>6425.03</x:v>
      </x:c>
      <x:c r="I27" t="n">
        <x:v>699.56</x:v>
      </x:c>
      <x:c r="J27" t="n">
        <x:v>4322.86</x:v>
      </x:c>
      <x:c r="K27" t="n">
        <x:v>14550.93</x:v>
      </x:c>
      <x:c r="L27" t="n">
        <x:v>1164.07</x:v>
      </x:c>
      <x:c r="M27" t="n">
        <x:v>261.92</x:v>
      </x:c>
      <x:c r="N27" t="n">
        <x:v>407.43</x:v>
      </x:c>
      <x:c r="O27" t="n">
        <x:v>12717.51</x:v>
      </x:c>
      <x:c r="P27" t="n">
        <x:v>6682.03</x:v>
      </x:c>
      <x:c r="Q27" t="n">
        <x:v>654.79</x:v>
      </x:c>
      <x:c r="R27" t="n">
        <x:v>5380.69</x:v>
      </x:c>
      <x:c r="S27" t="n">
        <x:v>-1270.07</x:v>
      </x:c>
      <x:c r="T27" t="n">
        <x:v>-1057.84</x:v>
      </x:c>
    </x:row>
    <x:row r="28">
      <x:c r="A28" t="str">
        <x:v>2025-07</x:v>
      </x:c>
      <x:c r="B28" t="str">
        <x:v>Gifts</x:v>
      </x:c>
      <x:c r="C28" t="n">
        <x:v>20864.84</x:v>
      </x:c>
      <x:c r="D28" t="n">
        <x:v>2380.56</x:v>
      </x:c>
      <x:c r="E28" t="n">
        <x:v>417.3</x:v>
      </x:c>
      <x:c r="F28" t="n">
        <x:v>625.95</x:v>
      </x:c>
      <x:c r="G28" t="n">
        <x:v>17441.04</x:v>
      </x:c>
      <x:c r="H28" t="n">
        <x:v>8935.76</x:v>
      </x:c>
      <x:c r="I28" t="n">
        <x:v>1043.24</x:v>
      </x:c>
      <x:c r="J28" t="n">
        <x:v>7462.03</x:v>
      </x:c>
      <x:c r="K28" t="n">
        <x:v>21699.43</x:v>
      </x:c>
      <x:c r="L28" t="n">
        <x:v>1735.95</x:v>
      </x:c>
      <x:c r="M28" t="n">
        <x:v>390.59</x:v>
      </x:c>
      <x:c r="N28" t="n">
        <x:v>607.58</x:v>
      </x:c>
      <x:c r="O28" t="n">
        <x:v>18965.3</x:v>
      </x:c>
      <x:c r="P28" t="n">
        <x:v>9293.19</x:v>
      </x:c>
      <x:c r="Q28" t="n">
        <x:v>976.47</x:v>
      </x:c>
      <x:c r="R28" t="n">
        <x:v>8695.64</x:v>
      </x:c>
      <x:c r="S28" t="n">
        <x:v>-1524.27</x:v>
      </x:c>
      <x:c r="T28" t="n">
        <x:v>-1233.61</x:v>
      </x:c>
    </x:row>
    <x:row r="29">
      <x:c r="A29" t="str">
        <x:v>2025-07</x:v>
      </x:c>
      <x:c r="B29" t="str">
        <x:v>Home</x:v>
      </x:c>
      <x:c r="C29" t="n">
        <x:v>25209.69</x:v>
      </x:c>
      <x:c r="D29" t="n">
        <x:v>3189.52</x:v>
      </x:c>
      <x:c r="E29" t="n">
        <x:v>504.19</x:v>
      </x:c>
      <x:c r="F29" t="n">
        <x:v>756.29</x:v>
      </x:c>
      <x:c r="G29" t="n">
        <x:v>20759.69</x:v>
      </x:c>
      <x:c r="H29" t="n">
        <x:v>12819.05</x:v>
      </x:c>
      <x:c r="I29" t="n">
        <x:v>1260.48</x:v>
      </x:c>
      <x:c r="J29" t="n">
        <x:v>6680.16</x:v>
      </x:c>
      <x:c r="K29" t="n">
        <x:v>26218.08</x:v>
      </x:c>
      <x:c r="L29" t="n">
        <x:v>2097.45</x:v>
      </x:c>
      <x:c r="M29" t="n">
        <x:v>471.93</x:v>
      </x:c>
      <x:c r="N29" t="n">
        <x:v>734.11</x:v>
      </x:c>
      <x:c r="O29" t="n">
        <x:v>22914.6</x:v>
      </x:c>
      <x:c r="P29" t="n">
        <x:v>13331.81</x:v>
      </x:c>
      <x:c r="Q29" t="n">
        <x:v>1179.81</x:v>
      </x:c>
      <x:c r="R29" t="n">
        <x:v>8402.98</x:v>
      </x:c>
      <x:c r="S29" t="n">
        <x:v>-2154.91</x:v>
      </x:c>
      <x:c r="T29" t="n">
        <x:v>-1722.82</x:v>
      </x:c>
    </x:row>
    <x:row r="30">
      <x:c r="A30" t="str">
        <x:v>2025-07</x:v>
      </x:c>
      <x:c r="B30" t="str">
        <x:v>Kitchen</x:v>
      </x:c>
      <x:c r="C30" t="n">
        <x:v>56570.14</x:v>
      </x:c>
      <x:c r="D30" t="n">
        <x:v>6141.94</x:v>
      </x:c>
      <x:c r="E30" t="n">
        <x:v>1131.4</x:v>
      </x:c>
      <x:c r="F30" t="n">
        <x:v>1697.1</x:v>
      </x:c>
      <x:c r="G30" t="n">
        <x:v>47599.69</x:v>
      </x:c>
      <x:c r="H30" t="n">
        <x:v>32284.85</x:v>
      </x:c>
      <x:c r="I30" t="n">
        <x:v>2828.51</x:v>
      </x:c>
      <x:c r="J30" t="n">
        <x:v>12486.33</x:v>
      </x:c>
      <x:c r="K30" t="n">
        <x:v>58832.95</x:v>
      </x:c>
      <x:c r="L30" t="n">
        <x:v>4706.64</x:v>
      </x:c>
      <x:c r="M30" t="n">
        <x:v>1058.99</x:v>
      </x:c>
      <x:c r="N30" t="n">
        <x:v>1647.32</x:v>
      </x:c>
      <x:c r="O30" t="n">
        <x:v>51419.99</x:v>
      </x:c>
      <x:c r="P30" t="n">
        <x:v>33576.25</x:v>
      </x:c>
      <x:c r="Q30" t="n">
        <x:v>2647.48</x:v>
      </x:c>
      <x:c r="R30" t="n">
        <x:v>15196.26</x:v>
      </x:c>
      <x:c r="S30" t="n">
        <x:v>-3820.3</x:v>
      </x:c>
      <x:c r="T30" t="n">
        <x:v>-2709.93</x:v>
      </x:c>
    </x:row>
    <x:row r="31">
      <x:c r="A31" t="str">
        <x:v>2025-07</x:v>
      </x:c>
      <x:c r="B31" t="str">
        <x:v>Seasonal</x:v>
      </x:c>
      <x:c r="C31" t="n">
        <x:v>16321.86</x:v>
      </x:c>
      <x:c r="D31" t="n">
        <x:v>1710.41</x:v>
      </x:c>
      <x:c r="E31" t="n">
        <x:v>326.44</x:v>
      </x:c>
      <x:c r="F31" t="n">
        <x:v>489.66</x:v>
      </x:c>
      <x:c r="G31" t="n">
        <x:v>13795.35</x:v>
      </x:c>
      <x:c r="H31" t="n">
        <x:v>7414.81</x:v>
      </x:c>
      <x:c r="I31" t="n">
        <x:v>816.09</x:v>
      </x:c>
      <x:c r="J31" t="n">
        <x:v>5564.45</x:v>
      </x:c>
      <x:c r="K31" t="n">
        <x:v>16974.73</x:v>
      </x:c>
      <x:c r="L31" t="n">
        <x:v>1357.98</x:v>
      </x:c>
      <x:c r="M31" t="n">
        <x:v>305.55</x:v>
      </x:c>
      <x:c r="N31" t="n">
        <x:v>475.29</x:v>
      </x:c>
      <x:c r="O31" t="n">
        <x:v>14835.92</x:v>
      </x:c>
      <x:c r="P31" t="n">
        <x:v>7711.41</x:v>
      </x:c>
      <x:c r="Q31" t="n">
        <x:v>763.86</x:v>
      </x:c>
      <x:c r="R31" t="n">
        <x:v>6360.65</x:v>
      </x:c>
      <x:c r="S31" t="n">
        <x:v>-1040.56</x:v>
      </x:c>
      <x:c r="T31" t="n">
        <x:v>-796.2</x:v>
      </x:c>
    </x:row>
    <x:row r="32">
      <x:c r="A32" t="str">
        <x:v>2025-08</x:v>
      </x:c>
      <x:c r="B32" t="str">
        <x:v>Gifts</x:v>
      </x:c>
      <x:c r="C32" t="n">
        <x:v>25267.19</x:v>
      </x:c>
      <x:c r="D32" t="n">
        <x:v>2472.43</x:v>
      </x:c>
      <x:c r="E32" t="n">
        <x:v>505.34</x:v>
      </x:c>
      <x:c r="F32" t="n">
        <x:v>758.02</x:v>
      </x:c>
      <x:c r="G32" t="n">
        <x:v>21531.41</x:v>
      </x:c>
      <x:c r="H32" t="n">
        <x:v>10821.64</x:v>
      </x:c>
      <x:c r="I32" t="n">
        <x:v>1263.36</x:v>
      </x:c>
      <x:c r="J32" t="n">
        <x:v>9446.41</x:v>
      </x:c>
      <x:c r="K32" t="n">
        <x:v>26277.88</x:v>
      </x:c>
      <x:c r="L32" t="n">
        <x:v>2102.23</x:v>
      </x:c>
      <x:c r="M32" t="n">
        <x:v>473</x:v>
      </x:c>
      <x:c r="N32" t="n">
        <x:v>735.78</x:v>
      </x:c>
      <x:c r="O32" t="n">
        <x:v>22966.87</x:v>
      </x:c>
      <x:c r="P32" t="n">
        <x:v>11254.51</x:v>
      </x:c>
      <x:c r="Q32" t="n">
        <x:v>1182.5</x:v>
      </x:c>
      <x:c r="R32" t="n">
        <x:v>10529.85</x:v>
      </x:c>
      <x:c r="S32" t="n">
        <x:v>-1435.46</x:v>
      </x:c>
      <x:c r="T32" t="n">
        <x:v>-1083.45</x:v>
      </x:c>
    </x:row>
    <x:row r="33">
      <x:c r="A33" t="str">
        <x:v>2025-08</x:v>
      </x:c>
      <x:c r="B33" t="str">
        <x:v>Home</x:v>
      </x:c>
      <x:c r="C33" t="n">
        <x:v>34704.6</x:v>
      </x:c>
      <x:c r="D33" t="n">
        <x:v>4134.79</x:v>
      </x:c>
      <x:c r="E33" t="n">
        <x:v>694.09</x:v>
      </x:c>
      <x:c r="F33" t="n">
        <x:v>1041.14</x:v>
      </x:c>
      <x:c r="G33" t="n">
        <x:v>28834.58</x:v>
      </x:c>
      <x:c r="H33" t="n">
        <x:v>17657.29</x:v>
      </x:c>
      <x:c r="I33" t="n">
        <x:v>1735.23</x:v>
      </x:c>
      <x:c r="J33" t="n">
        <x:v>9442.06</x:v>
      </x:c>
      <x:c r="K33" t="n">
        <x:v>36092.78</x:v>
      </x:c>
      <x:c r="L33" t="n">
        <x:v>2887.42</x:v>
      </x:c>
      <x:c r="M33" t="n">
        <x:v>649.67</x:v>
      </x:c>
      <x:c r="N33" t="n">
        <x:v>1010.6</x:v>
      </x:c>
      <x:c r="O33" t="n">
        <x:v>31545.09</x:v>
      </x:c>
      <x:c r="P33" t="n">
        <x:v>18363.58</x:v>
      </x:c>
      <x:c r="Q33" t="n">
        <x:v>1624.18</x:v>
      </x:c>
      <x:c r="R33" t="n">
        <x:v>11557.34</x:v>
      </x:c>
      <x:c r="S33" t="n">
        <x:v>-2710.52</x:v>
      </x:c>
      <x:c r="T33" t="n">
        <x:v>-2115.28</x:v>
      </x:c>
    </x:row>
    <x:row r="34">
      <x:c r="A34" t="str">
        <x:v>2025-08</x:v>
      </x:c>
      <x:c r="B34" t="str">
        <x:v>Kitchen</x:v>
      </x:c>
      <x:c r="C34" t="n">
        <x:v>42422.9</x:v>
      </x:c>
      <x:c r="D34" t="n">
        <x:v>4753.13</x:v>
      </x:c>
      <x:c r="E34" t="n">
        <x:v>848.46</x:v>
      </x:c>
      <x:c r="F34" t="n">
        <x:v>1272.69</x:v>
      </x:c>
      <x:c r="G34" t="n">
        <x:v>35548.63</x:v>
      </x:c>
      <x:c r="H34" t="n">
        <x:v>24142.7</x:v>
      </x:c>
      <x:c r="I34" t="n">
        <x:v>2121.14</x:v>
      </x:c>
      <x:c r="J34" t="n">
        <x:v>9284.78</x:v>
      </x:c>
      <x:c r="K34" t="n">
        <x:v>44119.82</x:v>
      </x:c>
      <x:c r="L34" t="n">
        <x:v>3529.59</x:v>
      </x:c>
      <x:c r="M34" t="n">
        <x:v>794.16</x:v>
      </x:c>
      <x:c r="N34" t="n">
        <x:v>1235.35</x:v>
      </x:c>
      <x:c r="O34" t="n">
        <x:v>38560.72</x:v>
      </x:c>
      <x:c r="P34" t="n">
        <x:v>25108.41</x:v>
      </x:c>
      <x:c r="Q34" t="n">
        <x:v>1985.39</x:v>
      </x:c>
      <x:c r="R34" t="n">
        <x:v>11466.92</x:v>
      </x:c>
      <x:c r="S34" t="n">
        <x:v>-3012.09</x:v>
      </x:c>
      <x:c r="T34" t="n">
        <x:v>-2182.14</x:v>
      </x:c>
    </x:row>
    <x:row r="35">
      <x:c r="A35" t="str">
        <x:v>2025-08</x:v>
      </x:c>
      <x:c r="B35" t="str">
        <x:v>Seasonal</x:v>
      </x:c>
      <x:c r="C35" t="n">
        <x:v>14624.44</x:v>
      </x:c>
      <x:c r="D35" t="n">
        <x:v>1596.15</x:v>
      </x:c>
      <x:c r="E35" t="n">
        <x:v>292.49</x:v>
      </x:c>
      <x:c r="F35" t="n">
        <x:v>438.73</x:v>
      </x:c>
      <x:c r="G35" t="n">
        <x:v>12297.06</x:v>
      </x:c>
      <x:c r="H35" t="n">
        <x:v>6725.76</x:v>
      </x:c>
      <x:c r="I35" t="n">
        <x:v>731.22</x:v>
      </x:c>
      <x:c r="J35" t="n">
        <x:v>4840.08</x:v>
      </x:c>
      <x:c r="K35" t="n">
        <x:v>15209.42</x:v>
      </x:c>
      <x:c r="L35" t="n">
        <x:v>1216.75</x:v>
      </x:c>
      <x:c r="M35" t="n">
        <x:v>273.77</x:v>
      </x:c>
      <x:c r="N35" t="n">
        <x:v>425.86</x:v>
      </x:c>
      <x:c r="O35" t="n">
        <x:v>13293.03</x:v>
      </x:c>
      <x:c r="P35" t="n">
        <x:v>6994.79</x:v>
      </x:c>
      <x:c r="Q35" t="n">
        <x:v>684.42</x:v>
      </x:c>
      <x:c r="R35" t="n">
        <x:v>5613.81</x:v>
      </x:c>
      <x:c r="S35" t="n">
        <x:v>-995.97</x:v>
      </x:c>
      <x:c r="T35" t="n">
        <x:v>-773.73</x:v>
      </x:c>
    </x:row>
    <x:row r="36">
      <x:c r="A36" t="str">
        <x:v>2025-09</x:v>
      </x:c>
      <x:c r="B36" t="str">
        <x:v>Gifts</x:v>
      </x:c>
      <x:c r="C36" t="n">
        <x:v>26170.21</x:v>
      </x:c>
      <x:c r="D36" t="n">
        <x:v>3043.83</x:v>
      </x:c>
      <x:c r="E36" t="n">
        <x:v>523.4</x:v>
      </x:c>
      <x:c r="F36" t="n">
        <x:v>785.11</x:v>
      </x:c>
      <x:c r="G36" t="n">
        <x:v>21817.87</x:v>
      </x:c>
      <x:c r="H36" t="n">
        <x:v>11310.59</x:v>
      </x:c>
      <x:c r="I36" t="n">
        <x:v>1308.51</x:v>
      </x:c>
      <x:c r="J36" t="n">
        <x:v>9198.77</x:v>
      </x:c>
      <x:c r="K36" t="n">
        <x:v>27217.02</x:v>
      </x:c>
      <x:c r="L36" t="n">
        <x:v>2177.36</x:v>
      </x:c>
      <x:c r="M36" t="n">
        <x:v>489.91</x:v>
      </x:c>
      <x:c r="N36" t="n">
        <x:v>762.08</x:v>
      </x:c>
      <x:c r="O36" t="n">
        <x:v>23787.67</x:v>
      </x:c>
      <x:c r="P36" t="n">
        <x:v>11763.01</x:v>
      </x:c>
      <x:c r="Q36" t="n">
        <x:v>1224.77</x:v>
      </x:c>
      <x:c r="R36" t="n">
        <x:v>10799.9</x:v>
      </x:c>
      <x:c r="S36" t="n">
        <x:v>-1969.81</x:v>
      </x:c>
      <x:c r="T36" t="n">
        <x:v>-1601.13</x:v>
      </x:c>
    </x:row>
    <x:row r="37">
      <x:c r="A37" t="str">
        <x:v>2025-09</x:v>
      </x:c>
      <x:c r="B37" t="str">
        <x:v>Home</x:v>
      </x:c>
      <x:c r="C37" t="n">
        <x:v>34819.44</x:v>
      </x:c>
      <x:c r="D37" t="n">
        <x:v>3418.64</x:v>
      </x:c>
      <x:c r="E37" t="n">
        <x:v>696.39</x:v>
      </x:c>
      <x:c r="F37" t="n">
        <x:v>1044.58</x:v>
      </x:c>
      <x:c r="G37" t="n">
        <x:v>29659.83</x:v>
      </x:c>
      <x:c r="H37" t="n">
        <x:v>17778.56</x:v>
      </x:c>
      <x:c r="I37" t="n">
        <x:v>1740.97</x:v>
      </x:c>
      <x:c r="J37" t="n">
        <x:v>10140.3</x:v>
      </x:c>
      <x:c r="K37" t="n">
        <x:v>36212.22</x:v>
      </x:c>
      <x:c r="L37" t="n">
        <x:v>2896.98</x:v>
      </x:c>
      <x:c r="M37" t="n">
        <x:v>651.82</x:v>
      </x:c>
      <x:c r="N37" t="n">
        <x:v>1013.94</x:v>
      </x:c>
      <x:c r="O37" t="n">
        <x:v>31649.48</x:v>
      </x:c>
      <x:c r="P37" t="n">
        <x:v>18489.7</x:v>
      </x:c>
      <x:c r="Q37" t="n">
        <x:v>1629.55</x:v>
      </x:c>
      <x:c r="R37" t="n">
        <x:v>11530.23</x:v>
      </x:c>
      <x:c r="S37" t="n">
        <x:v>-1989.65</x:v>
      </x:c>
      <x:c r="T37" t="n">
        <x:v>-1389.93</x:v>
      </x:c>
    </x:row>
    <x:row r="38">
      <x:c r="A38" t="str">
        <x:v>2025-09</x:v>
      </x:c>
      <x:c r="B38" t="str">
        <x:v>Kitchen</x:v>
      </x:c>
      <x:c r="C38" t="n">
        <x:v>35782.81</x:v>
      </x:c>
      <x:c r="D38" t="n">
        <x:v>3638.83</x:v>
      </x:c>
      <x:c r="E38" t="n">
        <x:v>715.66</x:v>
      </x:c>
      <x:c r="F38" t="n">
        <x:v>1073.48</x:v>
      </x:c>
      <x:c r="G38" t="n">
        <x:v>30354.84</x:v>
      </x:c>
      <x:c r="H38" t="n">
        <x:v>20261.47</x:v>
      </x:c>
      <x:c r="I38" t="n">
        <x:v>1789.14</x:v>
      </x:c>
      <x:c r="J38" t="n">
        <x:v>8304.23</x:v>
      </x:c>
      <x:c r="K38" t="n">
        <x:v>37214.12</x:v>
      </x:c>
      <x:c r="L38" t="n">
        <x:v>2977.13</x:v>
      </x:c>
      <x:c r="M38" t="n">
        <x:v>669.85</x:v>
      </x:c>
      <x:c r="N38" t="n">
        <x:v>1042</x:v>
      </x:c>
      <x:c r="O38" t="n">
        <x:v>32525.14</x:v>
      </x:c>
      <x:c r="P38" t="n">
        <x:v>21071.93</x:v>
      </x:c>
      <x:c r="Q38" t="n">
        <x:v>1674.64</x:v>
      </x:c>
      <x:c r="R38" t="n">
        <x:v>9778.57</x:v>
      </x:c>
      <x:c r="S38" t="n">
        <x:v>-2170.3</x:v>
      </x:c>
      <x:c r="T38" t="n">
        <x:v>-1474.35</x:v>
      </x:c>
    </x:row>
    <x:row r="39">
      <x:c r="A39" t="str">
        <x:v>2025-09</x:v>
      </x:c>
      <x:c r="B39" t="str">
        <x:v>Seasonal</x:v>
      </x:c>
      <x:c r="C39" t="n">
        <x:v>17399.16</x:v>
      </x:c>
      <x:c r="D39" t="n">
        <x:v>1993.49</x:v>
      </x:c>
      <x:c r="E39" t="n">
        <x:v>347.98</x:v>
      </x:c>
      <x:c r="F39" t="n">
        <x:v>521.97</x:v>
      </x:c>
      <x:c r="G39" t="n">
        <x:v>14535.71</x:v>
      </x:c>
      <x:c r="H39" t="n">
        <x:v>7973.73</x:v>
      </x:c>
      <x:c r="I39" t="n">
        <x:v>869.96</x:v>
      </x:c>
      <x:c r="J39" t="n">
        <x:v>5692.03</x:v>
      </x:c>
      <x:c r="K39" t="n">
        <x:v>18095.13</x:v>
      </x:c>
      <x:c r="L39" t="n">
        <x:v>1447.61</x:v>
      </x:c>
      <x:c r="M39" t="n">
        <x:v>325.71</x:v>
      </x:c>
      <x:c r="N39" t="n">
        <x:v>506.66</x:v>
      </x:c>
      <x:c r="O39" t="n">
        <x:v>15815.14</x:v>
      </x:c>
      <x:c r="P39" t="n">
        <x:v>8292.68</x:v>
      </x:c>
      <x:c r="Q39" t="n">
        <x:v>814.28</x:v>
      </x:c>
      <x:c r="R39" t="n">
        <x:v>6708.18</x:v>
      </x:c>
      <x:c r="S39" t="n">
        <x:v>-1279.43</x:v>
      </x:c>
      <x:c r="T39" t="n">
        <x:v>-1016.16</x:v>
      </x:c>
    </x:row>
    <x:row r="40">
      <x:c r="A40" t="str">
        <x:v>2025-10</x:v>
      </x:c>
      <x:c r="B40" t="str">
        <x:v>Gifts</x:v>
      </x:c>
      <x:c r="C40" t="n">
        <x:v>18108.34</x:v>
      </x:c>
      <x:c r="D40" t="n">
        <x:v>2074.26</x:v>
      </x:c>
      <x:c r="E40" t="n">
        <x:v>362.17</x:v>
      </x:c>
      <x:c r="F40" t="n">
        <x:v>543.25</x:v>
      </x:c>
      <x:c r="G40" t="n">
        <x:v>15128.67</x:v>
      </x:c>
      <x:c r="H40" t="n">
        <x:v>7812.77</x:v>
      </x:c>
      <x:c r="I40" t="n">
        <x:v>905.42</x:v>
      </x:c>
      <x:c r="J40" t="n">
        <x:v>6410.48</x:v>
      </x:c>
      <x:c r="K40" t="n">
        <x:v>18832.67</x:v>
      </x:c>
      <x:c r="L40" t="n">
        <x:v>1506.61</x:v>
      </x:c>
      <x:c r="M40" t="n">
        <x:v>338.99</x:v>
      </x:c>
      <x:c r="N40" t="n">
        <x:v>527.31</x:v>
      </x:c>
      <x:c r="O40" t="n">
        <x:v>16459.76</x:v>
      </x:c>
      <x:c r="P40" t="n">
        <x:v>8125.28</x:v>
      </x:c>
      <x:c r="Q40" t="n">
        <x:v>847.47</x:v>
      </x:c>
      <x:c r="R40" t="n">
        <x:v>7487</x:v>
      </x:c>
      <x:c r="S40" t="n">
        <x:v>-1331.09</x:v>
      </x:c>
      <x:c r="T40" t="n">
        <x:v>-1076.53</x:v>
      </x:c>
    </x:row>
    <x:row r="41">
      <x:c r="A41" t="str">
        <x:v>2025-10</x:v>
      </x:c>
      <x:c r="B41" t="str">
        <x:v>Home</x:v>
      </x:c>
      <x:c r="C41" t="n">
        <x:v>20797.47</x:v>
      </x:c>
      <x:c r="D41" t="n">
        <x:v>1927.63</x:v>
      </x:c>
      <x:c r="E41" t="n">
        <x:v>415.95</x:v>
      </x:c>
      <x:c r="F41" t="n">
        <x:v>623.92</x:v>
      </x:c>
      <x:c r="G41" t="n">
        <x:v>17829.97</x:v>
      </x:c>
      <x:c r="H41" t="n">
        <x:v>10546.51</x:v>
      </x:c>
      <x:c r="I41" t="n">
        <x:v>1039.87</x:v>
      </x:c>
      <x:c r="J41" t="n">
        <x:v>6243.59</x:v>
      </x:c>
      <x:c r="K41" t="n">
        <x:v>21629.37</x:v>
      </x:c>
      <x:c r="L41" t="n">
        <x:v>1730.35</x:v>
      </x:c>
      <x:c r="M41" t="n">
        <x:v>389.33</x:v>
      </x:c>
      <x:c r="N41" t="n">
        <x:v>605.62</x:v>
      </x:c>
      <x:c r="O41" t="n">
        <x:v>18904.07</x:v>
      </x:c>
      <x:c r="P41" t="n">
        <x:v>10968.37</x:v>
      </x:c>
      <x:c r="Q41" t="n">
        <x:v>973.32</x:v>
      </x:c>
      <x:c r="R41" t="n">
        <x:v>6962.38</x:v>
      </x:c>
      <x:c r="S41" t="n">
        <x:v>-1074.1</x:v>
      </x:c>
      <x:c r="T41" t="n">
        <x:v>-718.79</x:v>
      </x:c>
    </x:row>
    <x:row r="42">
      <x:c r="A42" t="str">
        <x:v>2025-10</x:v>
      </x:c>
      <x:c r="B42" t="str">
        <x:v>Kitchen</x:v>
      </x:c>
      <x:c r="C42" t="n">
        <x:v>28919.93</x:v>
      </x:c>
      <x:c r="D42" t="n">
        <x:v>3550.76</x:v>
      </x:c>
      <x:c r="E42" t="n">
        <x:v>578.4</x:v>
      </x:c>
      <x:c r="F42" t="n">
        <x:v>867.6</x:v>
      </x:c>
      <x:c r="G42" t="n">
        <x:v>23923.17</x:v>
      </x:c>
      <x:c r="H42" t="n">
        <x:v>16584.03</x:v>
      </x:c>
      <x:c r="I42" t="n">
        <x:v>1446</x:v>
      </x:c>
      <x:c r="J42" t="n">
        <x:v>5893.15</x:v>
      </x:c>
      <x:c r="K42" t="n">
        <x:v>30076.73</x:v>
      </x:c>
      <x:c r="L42" t="n">
        <x:v>2406.14</x:v>
      </x:c>
      <x:c r="M42" t="n">
        <x:v>541.38</x:v>
      </x:c>
      <x:c r="N42" t="n">
        <x:v>842.15</x:v>
      </x:c>
      <x:c r="O42" t="n">
        <x:v>26287.06</x:v>
      </x:c>
      <x:c r="P42" t="n">
        <x:v>17247.39</x:v>
      </x:c>
      <x:c r="Q42" t="n">
        <x:v>1353.45</x:v>
      </x:c>
      <x:c r="R42" t="n">
        <x:v>7686.22</x:v>
      </x:c>
      <x:c r="S42" t="n">
        <x:v>-2363.89</x:v>
      </x:c>
      <x:c r="T42" t="n">
        <x:v>-1793.07</x:v>
      </x:c>
    </x:row>
    <x:row r="43">
      <x:c r="A43" t="str">
        <x:v>2025-10</x:v>
      </x:c>
      <x:c r="B43" t="str">
        <x:v>Seasonal</x:v>
      </x:c>
      <x:c r="C43" t="n">
        <x:v>16745.91</x:v>
      </x:c>
      <x:c r="D43" t="n">
        <x:v>1780.21</x:v>
      </x:c>
      <x:c r="E43" t="n">
        <x:v>334.92</x:v>
      </x:c>
      <x:c r="F43" t="n">
        <x:v>502.38</x:v>
      </x:c>
      <x:c r="G43" t="n">
        <x:v>14128.4</x:v>
      </x:c>
      <x:c r="H43" t="n">
        <x:v>7677.65</x:v>
      </x:c>
      <x:c r="I43" t="n">
        <x:v>837.3</x:v>
      </x:c>
      <x:c r="J43" t="n">
        <x:v>5613.45</x:v>
      </x:c>
      <x:c r="K43" t="n">
        <x:v>17415.75</x:v>
      </x:c>
      <x:c r="L43" t="n">
        <x:v>1393.26</x:v>
      </x:c>
      <x:c r="M43" t="n">
        <x:v>313.48</x:v>
      </x:c>
      <x:c r="N43" t="n">
        <x:v>487.64</x:v>
      </x:c>
      <x:c r="O43" t="n">
        <x:v>15221.36</x:v>
      </x:c>
      <x:c r="P43" t="n">
        <x:v>7984.76</x:v>
      </x:c>
      <x:c r="Q43" t="n">
        <x:v>783.71</x:v>
      </x:c>
      <x:c r="R43" t="n">
        <x:v>6452.89</x:v>
      </x:c>
      <x:c r="S43" t="n">
        <x:v>-1092.96</x:v>
      </x:c>
      <x:c r="T43" t="n">
        <x:v>-839.44</x:v>
      </x:c>
    </x:row>
    <x:row r="44">
      <x:c r="A44" t="str">
        <x:v>2025-11</x:v>
      </x:c>
      <x:c r="B44" t="str">
        <x:v>Gifts</x:v>
      </x:c>
      <x:c r="C44" t="n">
        <x:v>19576.28</x:v>
      </x:c>
      <x:c r="D44" t="n">
        <x:v>2254.91</x:v>
      </x:c>
      <x:c r="E44" t="n">
        <x:v>391.53</x:v>
      </x:c>
      <x:c r="F44" t="n">
        <x:v>587.29</x:v>
      </x:c>
      <x:c r="G44" t="n">
        <x:v>16342.55</x:v>
      </x:c>
      <x:c r="H44" t="n">
        <x:v>8385.72</x:v>
      </x:c>
      <x:c r="I44" t="n">
        <x:v>978.81</x:v>
      </x:c>
      <x:c r="J44" t="n">
        <x:v>6978.02</x:v>
      </x:c>
      <x:c r="K44" t="n">
        <x:v>20359.33</x:v>
      </x:c>
      <x:c r="L44" t="n">
        <x:v>1628.75</x:v>
      </x:c>
      <x:c r="M44" t="n">
        <x:v>366.47</x:v>
      </x:c>
      <x:c r="N44" t="n">
        <x:v>570.06</x:v>
      </x:c>
      <x:c r="O44" t="n">
        <x:v>17794.06</x:v>
      </x:c>
      <x:c r="P44" t="n">
        <x:v>8721.15</x:v>
      </x:c>
      <x:c r="Q44" t="n">
        <x:v>916.17</x:v>
      </x:c>
      <x:c r="R44" t="n">
        <x:v>8156.74</x:v>
      </x:c>
      <x:c r="S44" t="n">
        <x:v>-1451.5</x:v>
      </x:c>
      <x:c r="T44" t="n">
        <x:v>-1178.72</x:v>
      </x:c>
    </x:row>
    <x:row r="45">
      <x:c r="A45" t="str">
        <x:v>2025-11</x:v>
      </x:c>
      <x:c r="B45" t="str">
        <x:v>Home</x:v>
      </x:c>
      <x:c r="C45" t="n">
        <x:v>31945.48</x:v>
      </x:c>
      <x:c r="D45" t="n">
        <x:v>3390.66</x:v>
      </x:c>
      <x:c r="E45" t="n">
        <x:v>638.91</x:v>
      </x:c>
      <x:c r="F45" t="n">
        <x:v>958.36</x:v>
      </x:c>
      <x:c r="G45" t="n">
        <x:v>26957.54</x:v>
      </x:c>
      <x:c r="H45" t="n">
        <x:v>16323.85</x:v>
      </x:c>
      <x:c r="I45" t="n">
        <x:v>1597.27</x:v>
      </x:c>
      <x:c r="J45" t="n">
        <x:v>9036.41</x:v>
      </x:c>
      <x:c r="K45" t="n">
        <x:v>33223.3</x:v>
      </x:c>
      <x:c r="L45" t="n">
        <x:v>2657.86</x:v>
      </x:c>
      <x:c r="M45" t="n">
        <x:v>598.02</x:v>
      </x:c>
      <x:c r="N45" t="n">
        <x:v>930.25</x:v>
      </x:c>
      <x:c r="O45" t="n">
        <x:v>29037.16</x:v>
      </x:c>
      <x:c r="P45" t="n">
        <x:v>16976.81</x:v>
      </x:c>
      <x:c r="Q45" t="n">
        <x:v>1495.05</x:v>
      </x:c>
      <x:c r="R45" t="n">
        <x:v>10565.31</x:v>
      </x:c>
      <x:c r="S45" t="n">
        <x:v>-2079.62</x:v>
      </x:c>
      <x:c r="T45" t="n">
        <x:v>-1528.89</x:v>
      </x:c>
    </x:row>
    <x:row r="46">
      <x:c r="A46" t="str">
        <x:v>2025-11</x:v>
      </x:c>
      <x:c r="B46" t="str">
        <x:v>Kitchen</x:v>
      </x:c>
      <x:c r="C46" t="n">
        <x:v>46580.68</x:v>
      </x:c>
      <x:c r="D46" t="n">
        <x:v>5173.81</x:v>
      </x:c>
      <x:c r="E46" t="n">
        <x:v>931.61</x:v>
      </x:c>
      <x:c r="F46" t="n">
        <x:v>1397.42</x:v>
      </x:c>
      <x:c r="G46" t="n">
        <x:v>39077.84</x:v>
      </x:c>
      <x:c r="H46" t="n">
        <x:v>26557.68</x:v>
      </x:c>
      <x:c r="I46" t="n">
        <x:v>2329.03</x:v>
      </x:c>
      <x:c r="J46" t="n">
        <x:v>10191.13</x:v>
      </x:c>
      <x:c r="K46" t="n">
        <x:v>48443.91</x:v>
      </x:c>
      <x:c r="L46" t="n">
        <x:v>3875.51</x:v>
      </x:c>
      <x:c r="M46" t="n">
        <x:v>871.99</x:v>
      </x:c>
      <x:c r="N46" t="n">
        <x:v>1356.43</x:v>
      </x:c>
      <x:c r="O46" t="n">
        <x:v>42339.97</x:v>
      </x:c>
      <x:c r="P46" t="n">
        <x:v>27619.98</x:v>
      </x:c>
      <x:c r="Q46" t="n">
        <x:v>2179.98</x:v>
      </x:c>
      <x:c r="R46" t="n">
        <x:v>12540.02</x:v>
      </x:c>
      <x:c r="S46" t="n">
        <x:v>-3262.14</x:v>
      </x:c>
      <x:c r="T46" t="n">
        <x:v>-2348.89</x:v>
      </x:c>
    </x:row>
    <x:row r="47">
      <x:c r="A47" t="str">
        <x:v>2025-11</x:v>
      </x:c>
      <x:c r="B47" t="str">
        <x:v>Seasonal</x:v>
      </x:c>
      <x:c r="C47" t="n">
        <x:v>17606.76</x:v>
      </x:c>
      <x:c r="D47" t="n">
        <x:v>1694.6</x:v>
      </x:c>
      <x:c r="E47" t="n">
        <x:v>352.14</x:v>
      </x:c>
      <x:c r="F47" t="n">
        <x:v>528.2</x:v>
      </x:c>
      <x:c r="G47" t="n">
        <x:v>15031.82</x:v>
      </x:c>
      <x:c r="H47" t="n">
        <x:v>8111.28</x:v>
      </x:c>
      <x:c r="I47" t="n">
        <x:v>880.34</x:v>
      </x:c>
      <x:c r="J47" t="n">
        <x:v>6040.2</x:v>
      </x:c>
      <x:c r="K47" t="n">
        <x:v>18311.03</x:v>
      </x:c>
      <x:c r="L47" t="n">
        <x:v>1464.88</x:v>
      </x:c>
      <x:c r="M47" t="n">
        <x:v>329.6</x:v>
      </x:c>
      <x:c r="N47" t="n">
        <x:v>512.71</x:v>
      </x:c>
      <x:c r="O47" t="n">
        <x:v>16003.84</x:v>
      </x:c>
      <x:c r="P47" t="n">
        <x:v>8435.73</x:v>
      </x:c>
      <x:c r="Q47" t="n">
        <x:v>824</x:v>
      </x:c>
      <x:c r="R47" t="n">
        <x:v>6744.12</x:v>
      </x:c>
      <x:c r="S47" t="n">
        <x:v>-972.02</x:v>
      </x:c>
      <x:c r="T47" t="n">
        <x:v>-703.91</x:v>
      </x:c>
    </x:row>
    <x:row r="48">
      <x:c r="A48" t="str">
        <x:v>2025-12</x:v>
      </x:c>
      <x:c r="B48" t="str">
        <x:v>Gifts</x:v>
      </x:c>
      <x:c r="C48" t="n">
        <x:v>24451.35</x:v>
      </x:c>
      <x:c r="D48" t="n">
        <x:v>2489.33</x:v>
      </x:c>
      <x:c r="E48" t="n">
        <x:v>489.03</x:v>
      </x:c>
      <x:c r="F48" t="n">
        <x:v>733.54</x:v>
      </x:c>
      <x:c r="G48" t="n">
        <x:v>20739.46</x:v>
      </x:c>
      <x:c r="H48" t="n">
        <x:v>10471.69</x:v>
      </x:c>
      <x:c r="I48" t="n">
        <x:v>1222.57</x:v>
      </x:c>
      <x:c r="J48" t="n">
        <x:v>9045.2</x:v>
      </x:c>
      <x:c r="K48" t="n">
        <x:v>25429.4</x:v>
      </x:c>
      <x:c r="L48" t="n">
        <x:v>2034.35</x:v>
      </x:c>
      <x:c r="M48" t="n">
        <x:v>457.73</x:v>
      </x:c>
      <x:c r="N48" t="n">
        <x:v>712.02</x:v>
      </x:c>
      <x:c r="O48" t="n">
        <x:v>22225.3</x:v>
      </x:c>
      <x:c r="P48" t="n">
        <x:v>10890.55</x:v>
      </x:c>
      <x:c r="Q48" t="n">
        <x:v>1144.32</x:v>
      </x:c>
      <x:c r="R48" t="n">
        <x:v>10190.42</x:v>
      </x:c>
      <x:c r="S48" t="n">
        <x:v>-1485.84</x:v>
      </x:c>
      <x:c r="T48" t="n">
        <x:v>-1145.22</x:v>
      </x:c>
    </x:row>
    <x:row r="49">
      <x:c r="A49" t="str">
        <x:v>2025-12</x:v>
      </x:c>
      <x:c r="B49" t="str">
        <x:v>Home</x:v>
      </x:c>
      <x:c r="C49" t="n">
        <x:v>27725.87</x:v>
      </x:c>
      <x:c r="D49" t="n">
        <x:v>3208.99</x:v>
      </x:c>
      <x:c r="E49" t="n">
        <x:v>554.52</x:v>
      </x:c>
      <x:c r="F49" t="n">
        <x:v>831.78</x:v>
      </x:c>
      <x:c r="G49" t="n">
        <x:v>23130.59</x:v>
      </x:c>
      <x:c r="H49" t="n">
        <x:v>14085.48</x:v>
      </x:c>
      <x:c r="I49" t="n">
        <x:v>1386.29</x:v>
      </x:c>
      <x:c r="J49" t="n">
        <x:v>7658.81</x:v>
      </x:c>
      <x:c r="K49" t="n">
        <x:v>28834.9</x:v>
      </x:c>
      <x:c r="L49" t="n">
        <x:v>2306.79</x:v>
      </x:c>
      <x:c r="M49" t="n">
        <x:v>519.03</x:v>
      </x:c>
      <x:c r="N49" t="n">
        <x:v>807.38</x:v>
      </x:c>
      <x:c r="O49" t="n">
        <x:v>25201.71</x:v>
      </x:c>
      <x:c r="P49" t="n">
        <x:v>14648.9</x:v>
      </x:c>
      <x:c r="Q49" t="n">
        <x:v>1297.57</x:v>
      </x:c>
      <x:c r="R49" t="n">
        <x:v>9255.24</x:v>
      </x:c>
      <x:c r="S49" t="n">
        <x:v>-2071.12</x:v>
      </x:c>
      <x:c r="T49" t="n">
        <x:v>-1596.42</x:v>
      </x:c>
    </x:row>
    <x:row r="50">
      <x:c r="A50" t="str">
        <x:v>2025-12</x:v>
      </x:c>
      <x:c r="B50" t="str">
        <x:v>Kitchen</x:v>
      </x:c>
      <x:c r="C50" t="n">
        <x:v>33386.17</x:v>
      </x:c>
      <x:c r="D50" t="n">
        <x:v>3517.46</x:v>
      </x:c>
      <x:c r="E50" t="n">
        <x:v>667.72</x:v>
      </x:c>
      <x:c r="F50" t="n">
        <x:v>1001.59</x:v>
      </x:c>
      <x:c r="G50" t="n">
        <x:v>28199.4</x:v>
      </x:c>
      <x:c r="H50" t="n">
        <x:v>19103.53</x:v>
      </x:c>
      <x:c r="I50" t="n">
        <x:v>1669.31</x:v>
      </x:c>
      <x:c r="J50" t="n">
        <x:v>7426.56</x:v>
      </x:c>
      <x:c r="K50" t="n">
        <x:v>34721.62</x:v>
      </x:c>
      <x:c r="L50" t="n">
        <x:v>2777.73</x:v>
      </x:c>
      <x:c r="M50" t="n">
        <x:v>624.99</x:v>
      </x:c>
      <x:c r="N50" t="n">
        <x:v>972.21</x:v>
      </x:c>
      <x:c r="O50" t="n">
        <x:v>30346.69</x:v>
      </x:c>
      <x:c r="P50" t="n">
        <x:v>19867.68</x:v>
      </x:c>
      <x:c r="Q50" t="n">
        <x:v>1562.47</x:v>
      </x:c>
      <x:c r="R50" t="n">
        <x:v>8916.54</x:v>
      </x:c>
      <x:c r="S50" t="n">
        <x:v>-2147.29</x:v>
      </x:c>
      <x:c r="T50" t="n">
        <x:v>-1489.99</x:v>
      </x:c>
    </x:row>
    <x:row r="51">
      <x:c r="A51" t="str">
        <x:v>2025-12</x:v>
      </x:c>
      <x:c r="B51" t="str">
        <x:v>Seasonal</x:v>
      </x:c>
      <x:c r="C51" t="n">
        <x:v>18598.89</x:v>
      </x:c>
      <x:c r="D51" t="n">
        <x:v>1875.88</x:v>
      </x:c>
      <x:c r="E51" t="n">
        <x:v>371.98</x:v>
      </x:c>
      <x:c r="F51" t="n">
        <x:v>557.97</x:v>
      </x:c>
      <x:c r="G51" t="n">
        <x:v>15793.07</x:v>
      </x:c>
      <x:c r="H51" t="n">
        <x:v>8559.55</x:v>
      </x:c>
      <x:c r="I51" t="n">
        <x:v>929.94</x:v>
      </x:c>
      <x:c r="J51" t="n">
        <x:v>6303.57</x:v>
      </x:c>
      <x:c r="K51" t="n">
        <x:v>19342.85</x:v>
      </x:c>
      <x:c r="L51" t="n">
        <x:v>1547.43</x:v>
      </x:c>
      <x:c r="M51" t="n">
        <x:v>348.17</x:v>
      </x:c>
      <x:c r="N51" t="n">
        <x:v>541.6</x:v>
      </x:c>
      <x:c r="O51" t="n">
        <x:v>16905.65</x:v>
      </x:c>
      <x:c r="P51" t="n">
        <x:v>8901.93</x:v>
      </x:c>
      <x:c r="Q51" t="n">
        <x:v>870.43</x:v>
      </x:c>
      <x:c r="R51" t="n">
        <x:v>7133.29</x:v>
      </x:c>
      <x:c r="S51" t="n">
        <x:v>-1112.58</x:v>
      </x:c>
      <x:c r="T51" t="n">
        <x:v>-829.71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28" customHeight="1">
      <x:c r="A1" s="3" t="str">
        <x:v>MODEL DOCUMENTATION &amp; LIMITATIONS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t="str">
        <x:v>Dataset</x:v>
      </x:c>
      <x:c r="B3" t="str">
        <x:v>9,000 simulated line items; expanded deterministically from earlier 3,600-row synthetic demo.</x:v>
      </x:c>
    </x:row>
    <x:row r="4">
      <x:c r="A4" t="str">
        <x:v>Currency</x:v>
      </x:c>
      <x:c r="B4" t="str">
        <x:v>GBP; modeled transaction prices originally GBP. Not a CAD retail portfolio.</x:v>
      </x:c>
    </x:row>
    <x:row r="5">
      <x:c r="A5" t="str">
        <x:v>Transaction gross sales</x:v>
      </x:c>
      <x:c r="B5" t="str">
        <x:v>Quantity × unit price; aggregate is synthetic.</x:v>
      </x:c>
    </x:row>
    <x:row r="6">
      <x:c r="A6" t="str">
        <x:v>Promotional discounts</x:v>
      </x:c>
      <x:c r="B6" t="str">
        <x:v>Synthetic transaction discounts (not observed real retailer promotions).</x:v>
      </x:c>
    </x:row>
    <x:row r="7">
      <x:c r="A7" t="str">
        <x:v>Trade spend</x:v>
      </x:c>
      <x:c r="B7" t="str">
        <x:v>Modeled percentage of gross sales, not real invoices or SAP conditions.</x:v>
      </x:c>
    </x:row>
    <x:row r="8">
      <x:c r="A8" t="str">
        <x:v>Returns</x:v>
      </x:c>
      <x:c r="B8" t="str">
        <x:v>Modeled return percentage; not linked to true customer cancellations.</x:v>
      </x:c>
    </x:row>
    <x:row r="9">
      <x:c r="A9" t="str">
        <x:v>COGS</x:v>
      </x:c>
      <x:c r="B9" t="str">
        <x:v>Estimated from assumed rate per transaction.</x:v>
      </x:c>
    </x:row>
    <x:row r="10">
      <x:c r="A10" t="str">
        <x:v>Contribution profit</x:v>
      </x:c>
      <x:c r="B10" t="str">
        <x:v>Net sales minus COGS minus variable selling costs.</x:v>
      </x:c>
    </x:row>
    <x:row r="11">
      <x:c r="A11" t="str">
        <x:v>Plan</x:v>
      </x:c>
      <x:c r="B11" t="str">
        <x:v>Modeled plan uses uplift and assumed rates, not an approved business budget.</x:v>
      </x:c>
    </x:row>
    <x:row r="12">
      <x:c r="A12" t="str">
        <x:v>Variance bridge</x:v>
      </x:c>
      <x:c r="B12" t="str">
        <x:v>Reconciles planned contribution to modeled actual contribution by line-item drivers.</x:v>
      </x:c>
    </x:row>
    <x:row r="13">
      <x:c r="A13" t="str">
        <x:v>Power BI</x:v>
      </x:c>
      <x:c r="B13" t="str">
        <x:v>CSV import and DAX pack provided; no native PBIX included.</x:v>
      </x:c>
    </x:row>
    <x:row r="14">
      <x:c r="A14" t="str">
        <x:v>Recommended public dataset</x:v>
      </x:c>
      <x:c r="B14" t="str">
        <x:v>UCI Online Retail (2010–2011), https://archive.ics.uci.edu/dataset/352/online+retail</x:v>
      </x:c>
    </x:row>
    <x:row r="15">
      <x:c r="A15" t="str">
        <x:v>Public dataset limitation</x:v>
      </x:c>
      <x:c r="B15" t="str">
        <x:v>UCI lacks promotion discounts, trade spend, budgets, and COGS; mark those as assumed if imported.</x:v>
      </x:c>
    </x:row>
  </x:sheetData>
  <x:pageMargins left="0.7" right="0.7" top="0.75" bottom="0.75" header="0.3" footer="0.3"/>
</x:worksheet>
</file>